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 de bord" sheetId="1" state="visible" r:id="rId1"/>
    <sheet xmlns:r="http://schemas.openxmlformats.org/officeDocument/2006/relationships" name="Base produits" sheetId="2" state="visible" r:id="rId2"/>
    <sheet xmlns:r="http://schemas.openxmlformats.org/officeDocument/2006/relationships" name="Catalogue visuel" sheetId="3" state="visible" r:id="rId3"/>
    <sheet xmlns:r="http://schemas.openxmlformats.org/officeDocument/2006/relationships" name="Ventes" sheetId="4" state="visible" r:id="rId4"/>
    <sheet xmlns:r="http://schemas.openxmlformats.org/officeDocument/2006/relationships" name="Réceptions" sheetId="5" state="visible" r:id="rId5"/>
    <sheet xmlns:r="http://schemas.openxmlformats.org/officeDocument/2006/relationships" name="Tarifs ESS" sheetId="6" state="visible" r:id="rId6"/>
    <sheet xmlns:r="http://schemas.openxmlformats.org/officeDocument/2006/relationships" name="Guide" sheetId="7" state="visible" r:id="rId7"/>
  </sheets>
  <definedNames>
    <definedName name="ListeReferences">'Base produits'!$B$5:$B$91</definedName>
    <definedName name="_xlnm.Print_Titles" localSheetId="0">'Tableau de bord'!$1:$4</definedName>
    <definedName name="_xlnm._FilterDatabase" localSheetId="1" hidden="1">'Base produits'!$A$4:$T$91</definedName>
    <definedName name="_xlnm.Print_Titles" localSheetId="1">'Base produits'!$1:$4</definedName>
    <definedName name="_xlnm.Print_Titles" localSheetId="2">'Catalogue visuel'!$1:$4</definedName>
    <definedName name="_xlnm.Print_Titles" localSheetId="3">'Ventes'!$1:$4</definedName>
    <definedName name="_xlnm.Print_Titles" localSheetId="4">'Réceptions'!$1:$4</definedName>
    <definedName name="_xlnm.Print_Titles" localSheetId="5">'Tarifs ESS'!$1:$4</definedName>
    <definedName name="_xlnm.Print_Titles" localSheetId="6">'Guide'!$1:$4</definedName>
  </definedNames>
  <calcPr calcId="124519" calcMode="auto" fullCalcOnLoad="1" forceFullCalc="1"/>
</workbook>
</file>

<file path=xl/styles.xml><?xml version="1.0" encoding="utf-8"?>
<styleSheet xmlns="http://schemas.openxmlformats.org/spreadsheetml/2006/main">
  <numFmts count="3">
    <numFmt numFmtId="164" formatCode="#,##0 &quot;F&quot;;[Red]-#,##0 &quot;F&quot;;–"/>
    <numFmt numFmtId="165" formatCode="0.0%"/>
    <numFmt numFmtId="166" formatCode="dd/mm/yyyy"/>
  </numFmts>
  <fonts count="10">
    <font>
      <name val="Calibri"/>
      <family val="2"/>
      <color theme="1"/>
      <sz val="11"/>
      <scheme val="minor"/>
    </font>
    <font>
      <name val="Aptos Display"/>
      <b val="1"/>
      <color rgb="00FFFFFF"/>
      <sz val="19"/>
    </font>
    <font>
      <name val="Aptos"/>
      <i val="1"/>
      <color rgb="001F4E78"/>
      <sz val="10"/>
    </font>
    <font>
      <name val="Aptos"/>
      <b val="1"/>
      <color rgb="00FFFFFF"/>
      <sz val="10"/>
    </font>
    <font>
      <name val="Calibri"/>
      <family val="2"/>
      <color theme="10"/>
      <sz val="12"/>
      <scheme val="minor"/>
    </font>
    <font>
      <name val="Aptos"/>
      <color rgb="001E293B"/>
      <sz val="9"/>
    </font>
    <font>
      <name val="Aptos"/>
      <b val="1"/>
      <color rgb="001E293B"/>
      <sz val="9"/>
    </font>
    <font>
      <name val="Aptos"/>
      <i val="1"/>
      <color rgb="00666666"/>
      <sz val="9"/>
    </font>
    <font>
      <name val="Aptos Display"/>
      <b val="1"/>
      <color rgb="0015324F"/>
      <sz val="17"/>
    </font>
    <font>
      <name val="Aptos"/>
      <b val="1"/>
      <color rgb="00FFFFFF"/>
      <sz val="12"/>
    </font>
  </fonts>
  <fills count="12">
    <fill>
      <patternFill/>
    </fill>
    <fill>
      <patternFill patternType="gray125"/>
    </fill>
    <fill>
      <patternFill patternType="solid">
        <fgColor rgb="0015324F"/>
      </patternFill>
    </fill>
    <fill>
      <patternFill patternType="solid">
        <fgColor rgb="00EAF1F8"/>
      </patternFill>
    </fill>
    <fill>
      <patternFill patternType="solid">
        <fgColor rgb="001F4E78"/>
      </patternFill>
    </fill>
    <fill>
      <patternFill patternType="solid">
        <fgColor rgb="00FFF2CC"/>
      </patternFill>
    </fill>
    <fill>
      <patternFill patternType="solid">
        <fgColor rgb="00EAF2F8"/>
      </patternFill>
    </fill>
    <fill>
      <patternFill patternType="solid">
        <fgColor rgb="00E2F0D9"/>
      </patternFill>
    </fill>
    <fill>
      <patternFill patternType="solid">
        <fgColor rgb="00FCE4D6"/>
      </patternFill>
    </fill>
    <fill>
      <patternFill patternType="solid">
        <fgColor rgb="00F28C28"/>
      </patternFill>
    </fill>
    <fill>
      <patternFill patternType="solid">
        <fgColor rgb="00FFF8E8"/>
      </patternFill>
    </fill>
    <fill>
      <patternFill patternType="solid">
        <fgColor rgb="00F5F8FB"/>
      </patternFill>
    </fill>
  </fills>
  <borders count="3">
    <border>
      <left/>
      <right/>
      <top/>
      <bottom/>
      <diagonal/>
    </border>
    <border>
      <bottom style="medium">
        <color rgb="00F28C28"/>
      </bottom>
    </border>
    <border>
      <bottom style="thin">
        <color rgb="00D7E0E8"/>
      </bottom>
    </border>
  </borders>
  <cellStyleXfs count="2">
    <xf numFmtId="0" fontId="0" fillId="0" borderId="0"/>
    <xf numFmtId="0" fontId="4" fillId="0" borderId="0"/>
  </cellStyleXfs>
  <cellXfs count="34">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wrapText="1"/>
    </xf>
    <xf numFmtId="0" fontId="8" fillId="6" borderId="0" applyAlignment="1" pivotButton="0" quotePrefix="0" xfId="0">
      <alignment horizontal="center" vertical="center"/>
    </xf>
    <xf numFmtId="0" fontId="9" fillId="9" borderId="0" applyAlignment="1" pivotButton="0" quotePrefix="0" xfId="0">
      <alignment vertical="center"/>
    </xf>
    <xf numFmtId="0" fontId="5" fillId="8" borderId="0" applyAlignment="1" pivotButton="0" quotePrefix="0" xfId="0">
      <alignment vertical="center" wrapText="1"/>
    </xf>
    <xf numFmtId="0" fontId="5" fillId="10" borderId="0" applyAlignment="1" pivotButton="0" quotePrefix="0" xfId="0">
      <alignment vertical="center" wrapText="1"/>
    </xf>
    <xf numFmtId="164" fontId="8" fillId="6" borderId="0" applyAlignment="1" pivotButton="0" quotePrefix="0" xfId="0">
      <alignment horizontal="center" vertical="center"/>
    </xf>
    <xf numFmtId="0" fontId="9" fillId="4" borderId="0" pivotButton="0" quotePrefix="0" xfId="0"/>
    <xf numFmtId="0" fontId="9" fillId="9" borderId="0" applyAlignment="1" pivotButton="0" quotePrefix="0" xfId="0">
      <alignment horizontal="center" vertical="center"/>
    </xf>
    <xf numFmtId="0" fontId="5" fillId="11" borderId="0" applyAlignment="1" pivotButton="0" quotePrefix="0" xfId="0">
      <alignment vertical="center" wrapText="1"/>
    </xf>
    <xf numFmtId="0" fontId="7" fillId="0" borderId="0" applyAlignment="1" pivotButton="0" quotePrefix="0" xfId="0">
      <alignment vertical="center" wrapText="1"/>
    </xf>
    <xf numFmtId="0" fontId="3" fillId="4" borderId="1" applyAlignment="1" pivotButton="0" quotePrefix="0" xfId="0">
      <alignment horizontal="center" vertical="center" wrapText="1"/>
    </xf>
    <xf numFmtId="0" fontId="5" fillId="0" borderId="0" applyAlignment="1" pivotButton="0" quotePrefix="0" xfId="1">
      <alignment horizontal="center" vertical="center"/>
    </xf>
    <xf numFmtId="0" fontId="6" fillId="0" borderId="2" applyAlignment="1" pivotButton="0" quotePrefix="0" xfId="0">
      <alignment vertical="center"/>
    </xf>
    <xf numFmtId="0" fontId="5" fillId="0" borderId="2" applyAlignment="1" pivotButton="0" quotePrefix="0" xfId="0">
      <alignment vertical="center"/>
    </xf>
    <xf numFmtId="0" fontId="5" fillId="0" borderId="2" applyAlignment="1" pivotButton="0" quotePrefix="0" xfId="0">
      <alignment vertical="center" wrapText="1"/>
    </xf>
    <xf numFmtId="164" fontId="5" fillId="0" borderId="2" applyAlignment="1" pivotButton="0" quotePrefix="0" xfId="0">
      <alignment vertical="center"/>
    </xf>
    <xf numFmtId="164" fontId="5" fillId="5" borderId="2" applyAlignment="1" pivotButton="0" quotePrefix="0" xfId="0">
      <alignment vertical="center"/>
    </xf>
    <xf numFmtId="164" fontId="5" fillId="7" borderId="2" applyAlignment="1" pivotButton="0" quotePrefix="0" xfId="0">
      <alignment vertical="center"/>
    </xf>
    <xf numFmtId="164" fontId="5" fillId="6" borderId="2" applyAlignment="1" pivotButton="0" quotePrefix="0" xfId="0">
      <alignment vertical="center"/>
    </xf>
    <xf numFmtId="165" fontId="5" fillId="6" borderId="2" applyAlignment="1" pivotButton="0" quotePrefix="0" xfId="0">
      <alignment vertical="center"/>
    </xf>
    <xf numFmtId="0" fontId="5" fillId="5" borderId="2" applyAlignment="1" pivotButton="0" quotePrefix="0" xfId="0">
      <alignment vertical="center"/>
    </xf>
    <xf numFmtId="0" fontId="5" fillId="6" borderId="2" applyAlignment="1" pivotButton="0" quotePrefix="0" xfId="0">
      <alignment vertical="center"/>
    </xf>
    <xf numFmtId="0" fontId="5" fillId="8" borderId="2" applyAlignment="1" pivotButton="0" quotePrefix="0" xfId="0">
      <alignment vertical="center" wrapText="1"/>
    </xf>
    <xf numFmtId="164" fontId="5" fillId="8" borderId="2" applyAlignment="1" pivotButton="0" quotePrefix="0" xfId="0">
      <alignment vertical="center"/>
    </xf>
    <xf numFmtId="0" fontId="4" fillId="0" borderId="0" applyAlignment="1" pivotButton="0" quotePrefix="0" xfId="1">
      <alignment horizontal="center" vertical="center"/>
    </xf>
    <xf numFmtId="0" fontId="7" fillId="5" borderId="0" pivotButton="0" quotePrefix="0" xfId="0"/>
    <xf numFmtId="0" fontId="5" fillId="5" borderId="2" applyAlignment="1" pivotButton="0" quotePrefix="0" xfId="0">
      <alignment vertical="center" wrapText="1"/>
    </xf>
    <xf numFmtId="166" fontId="5" fillId="5" borderId="2" applyAlignment="1" pivotButton="0" quotePrefix="0" xfId="0">
      <alignment vertical="center"/>
    </xf>
    <xf numFmtId="0" fontId="5" fillId="6" borderId="2" applyAlignment="1" pivotButton="0" quotePrefix="0" xfId="0">
      <alignment vertical="center" wrapText="1"/>
    </xf>
    <xf numFmtId="165" fontId="5" fillId="5" borderId="2" applyAlignment="1" pivotButton="0" quotePrefix="0" xfId="0">
      <alignment vertical="center"/>
    </xf>
    <xf numFmtId="164" fontId="5" fillId="0" borderId="2"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Arena.ai</author>
  </authors>
  <commentList>
    <comment ref="H5" authorId="0" shapeId="0">
      <text>
        <t>Prix unitaire retranscrit du PDF fournisseur. La devise/les taxes de cette feuille ont été confirmées par l’utilisateur comme FCFA HT.</t>
      </text>
    </comment>
    <comment ref="J5" authorId="0" shapeId="0">
      <text>
        <t>Champ laissé vide conformément à votre choix de saisir les tarifs client manuellement. Les repères du catalogue ESS sont dans la colonne précédente et dans l’onglet Tarifs ESS.</t>
      </text>
    </comment>
    <comment ref="O5" authorId="0" shapeId="0">
      <text>
        <t>Saisir le stock constaté au démarrage; le stock théorique sera ensuite calculé avec les réceptions et les ventes.</t>
      </text>
    </comment>
    <comment ref="H6" authorId="0" shapeId="0">
      <text>
        <t>Prix unitaire retranscrit du PDF fournisseur. La devise/les taxes de cette feuille ont été confirmées par l’utilisateur comme FCFA HT.</t>
      </text>
    </comment>
    <comment ref="J6" authorId="0" shapeId="0">
      <text>
        <t>Champ laissé vide conformément à votre choix de saisir les tarifs client manuellement. Les repères du catalogue ESS sont dans la colonne précédente et dans l’onglet Tarifs ESS.</t>
      </text>
    </comment>
    <comment ref="O6" authorId="0" shapeId="0">
      <text>
        <t>Saisir le stock constaté au démarrage; le stock théorique sera ensuite calculé avec les réceptions et les ventes.</t>
      </text>
    </comment>
    <comment ref="H7" authorId="0" shapeId="0">
      <text>
        <t>Prix unitaire retranscrit du PDF fournisseur. La devise/les taxes de cette feuille ont été confirmées par l’utilisateur comme FCFA HT.</t>
      </text>
    </comment>
    <comment ref="J7" authorId="0" shapeId="0">
      <text>
        <t>Champ laissé vide conformément à votre choix de saisir les tarifs client manuellement. Les repères du catalogue ESS sont dans la colonne précédente et dans l’onglet Tarifs ESS.</t>
      </text>
    </comment>
    <comment ref="O7" authorId="0" shapeId="0">
      <text>
        <t>Saisir le stock constaté au démarrage; le stock théorique sera ensuite calculé avec les réceptions et les ventes.</t>
      </text>
    </comment>
    <comment ref="H8" authorId="0" shapeId="0">
      <text>
        <t>Prix unitaire retranscrit du PDF fournisseur. La devise/les taxes de cette feuille ont été confirmées par l’utilisateur comme FCFA HT.</t>
      </text>
    </comment>
    <comment ref="J8" authorId="0" shapeId="0">
      <text>
        <t>Champ laissé vide conformément à votre choix de saisir les tarifs client manuellement. Les repères du catalogue ESS sont dans la colonne précédente et dans l’onglet Tarifs ESS.</t>
      </text>
    </comment>
    <comment ref="O8" authorId="0" shapeId="0">
      <text>
        <t>Saisir le stock constaté au démarrage; le stock théorique sera ensuite calculé avec les réceptions et les ventes.</t>
      </text>
    </comment>
    <comment ref="H9" authorId="0" shapeId="0">
      <text>
        <t>Prix unitaire retranscrit du PDF fournisseur. La devise/les taxes de cette feuille ont été confirmées par l’utilisateur comme FCFA HT.</t>
      </text>
    </comment>
    <comment ref="J9" authorId="0" shapeId="0">
      <text>
        <t>Champ laissé vide conformément à votre choix de saisir les tarifs client manuellement. Les repères du catalogue ESS sont dans la colonne précédente et dans l’onglet Tarifs ESS.</t>
      </text>
    </comment>
    <comment ref="O9" authorId="0" shapeId="0">
      <text>
        <t>Saisir le stock constaté au démarrage; le stock théorique sera ensuite calculé avec les réceptions et les ventes.</t>
      </text>
    </comment>
    <comment ref="H10" authorId="0" shapeId="0">
      <text>
        <t>Prix unitaire retranscrit du PDF fournisseur. La devise/les taxes de cette feuille ont été confirmées par l’utilisateur comme FCFA HT.</t>
      </text>
    </comment>
    <comment ref="J10" authorId="0" shapeId="0">
      <text>
        <t>Champ laissé vide conformément à votre choix de saisir les tarifs client manuellement. Les repères du catalogue ESS sont dans la colonne précédente et dans l’onglet Tarifs ESS.</t>
      </text>
    </comment>
    <comment ref="O10" authorId="0" shapeId="0">
      <text>
        <t>Saisir le stock constaté au démarrage; le stock théorique sera ensuite calculé avec les réceptions et les ventes.</t>
      </text>
    </comment>
    <comment ref="H11" authorId="0" shapeId="0">
      <text>
        <t>Prix unitaire retranscrit du PDF fournisseur. La devise/les taxes de cette feuille ont été confirmées par l’utilisateur comme FCFA HT.</t>
      </text>
    </comment>
    <comment ref="J11" authorId="0" shapeId="0">
      <text>
        <t>Champ laissé vide conformément à votre choix de saisir les tarifs client manuellement. Les repères du catalogue ESS sont dans la colonne précédente et dans l’onglet Tarifs ESS.</t>
      </text>
    </comment>
    <comment ref="O11" authorId="0" shapeId="0">
      <text>
        <t>Saisir le stock constaté au démarrage; le stock théorique sera ensuite calculé avec les réceptions et les ventes.</t>
      </text>
    </comment>
    <comment ref="H12" authorId="0" shapeId="0">
      <text>
        <t>Prix unitaire retranscrit du PDF fournisseur. La devise/les taxes de cette feuille ont été confirmées par l’utilisateur comme FCFA HT.</t>
      </text>
    </comment>
    <comment ref="J12" authorId="0" shapeId="0">
      <text>
        <t>Champ laissé vide conformément à votre choix de saisir les tarifs client manuellement. Les repères du catalogue ESS sont dans la colonne précédente et dans l’onglet Tarifs ESS.</t>
      </text>
    </comment>
    <comment ref="O12" authorId="0" shapeId="0">
      <text>
        <t>Saisir le stock constaté au démarrage; le stock théorique sera ensuite calculé avec les réceptions et les ventes.</t>
      </text>
    </comment>
    <comment ref="H13" authorId="0" shapeId="0">
      <text>
        <t>Prix unitaire retranscrit du PDF fournisseur. La devise/les taxes de cette feuille ont été confirmées par l’utilisateur comme FCFA HT.</t>
      </text>
    </comment>
    <comment ref="J13" authorId="0" shapeId="0">
      <text>
        <t>Champ laissé vide conformément à votre choix de saisir les tarifs client manuellement. Les repères du catalogue ESS sont dans la colonne précédente et dans l’onglet Tarifs ESS.</t>
      </text>
    </comment>
    <comment ref="O13" authorId="0" shapeId="0">
      <text>
        <t>Saisir le stock constaté au démarrage; le stock théorique sera ensuite calculé avec les réceptions et les ventes.</t>
      </text>
    </comment>
    <comment ref="H14" authorId="0" shapeId="0">
      <text>
        <t>Prix unitaire retranscrit du PDF fournisseur. La devise/les taxes de cette feuille ont été confirmées par l’utilisateur comme FCFA HT.</t>
      </text>
    </comment>
    <comment ref="J14" authorId="0" shapeId="0">
      <text>
        <t>Champ laissé vide conformément à votre choix de saisir les tarifs client manuellement. Les repères du catalogue ESS sont dans la colonne précédente et dans l’onglet Tarifs ESS.</t>
      </text>
    </comment>
    <comment ref="O14" authorId="0" shapeId="0">
      <text>
        <t>Saisir le stock constaté au démarrage; le stock théorique sera ensuite calculé avec les réceptions et les ventes.</t>
      </text>
    </comment>
    <comment ref="H15" authorId="0" shapeId="0">
      <text>
        <t>Prix unitaire retranscrit du PDF fournisseur. La devise/les taxes de cette feuille ont été confirmées par l’utilisateur comme FCFA HT.</t>
      </text>
    </comment>
    <comment ref="J15" authorId="0" shapeId="0">
      <text>
        <t>Champ laissé vide conformément à votre choix de saisir les tarifs client manuellement. Les repères du catalogue ESS sont dans la colonne précédente et dans l’onglet Tarifs ESS.</t>
      </text>
    </comment>
    <comment ref="O15" authorId="0" shapeId="0">
      <text>
        <t>Saisir le stock constaté au démarrage; le stock théorique sera ensuite calculé avec les réceptions et les ventes.</t>
      </text>
    </comment>
    <comment ref="H16" authorId="0" shapeId="0">
      <text>
        <t>Prix unitaire retranscrit du PDF fournisseur. La devise/les taxes de cette feuille ont été confirmées par l’utilisateur comme FCFA HT.</t>
      </text>
    </comment>
    <comment ref="J16" authorId="0" shapeId="0">
      <text>
        <t>Champ laissé vide conformément à votre choix de saisir les tarifs client manuellement. Les repères du catalogue ESS sont dans la colonne précédente et dans l’onglet Tarifs ESS.</t>
      </text>
    </comment>
    <comment ref="O16" authorId="0" shapeId="0">
      <text>
        <t>Saisir le stock constaté au démarrage; le stock théorique sera ensuite calculé avec les réceptions et les ventes.</t>
      </text>
    </comment>
    <comment ref="H17" authorId="0" shapeId="0">
      <text>
        <t>Prix unitaire retranscrit du PDF fournisseur. La devise/les taxes de cette feuille ont été confirmées par l’utilisateur comme FCFA HT.</t>
      </text>
    </comment>
    <comment ref="J17" authorId="0" shapeId="0">
      <text>
        <t>Champ laissé vide conformément à votre choix de saisir les tarifs client manuellement. Les repères du catalogue ESS sont dans la colonne précédente et dans l’onglet Tarifs ESS.</t>
      </text>
    </comment>
    <comment ref="O17" authorId="0" shapeId="0">
      <text>
        <t>Saisir le stock constaté au démarrage; le stock théorique sera ensuite calculé avec les réceptions et les ventes.</t>
      </text>
    </comment>
    <comment ref="H18" authorId="0" shapeId="0">
      <text>
        <t>Prix unitaire retranscrit du PDF fournisseur. La devise/les taxes de cette feuille ont été confirmées par l’utilisateur comme FCFA HT.</t>
      </text>
    </comment>
    <comment ref="J18" authorId="0" shapeId="0">
      <text>
        <t>Champ laissé vide conformément à votre choix de saisir les tarifs client manuellement. Les repères du catalogue ESS sont dans la colonne précédente et dans l’onglet Tarifs ESS.</t>
      </text>
    </comment>
    <comment ref="O18" authorId="0" shapeId="0">
      <text>
        <t>Saisir le stock constaté au démarrage; le stock théorique sera ensuite calculé avec les réceptions et les ventes.</t>
      </text>
    </comment>
    <comment ref="H19" authorId="0" shapeId="0">
      <text>
        <t>Prix unitaire retranscrit du PDF fournisseur. La devise/les taxes de cette feuille ont été confirmées par l’utilisateur comme FCFA HT.</t>
      </text>
    </comment>
    <comment ref="J19" authorId="0" shapeId="0">
      <text>
        <t>Champ laissé vide conformément à votre choix de saisir les tarifs client manuellement. Les repères du catalogue ESS sont dans la colonne précédente et dans l’onglet Tarifs ESS.</t>
      </text>
    </comment>
    <comment ref="O19" authorId="0" shapeId="0">
      <text>
        <t>Saisir le stock constaté au démarrage; le stock théorique sera ensuite calculé avec les réceptions et les ventes.</t>
      </text>
    </comment>
    <comment ref="H20" authorId="0" shapeId="0">
      <text>
        <t>Prix unitaire retranscrit du PDF fournisseur. La devise/les taxes de cette feuille ont été confirmées par l’utilisateur comme FCFA HT.</t>
      </text>
    </comment>
    <comment ref="J20" authorId="0" shapeId="0">
      <text>
        <t>Champ laissé vide conformément à votre choix de saisir les tarifs client manuellement. Les repères du catalogue ESS sont dans la colonne précédente et dans l’onglet Tarifs ESS.</t>
      </text>
    </comment>
    <comment ref="O20" authorId="0" shapeId="0">
      <text>
        <t>Saisir le stock constaté au démarrage; le stock théorique sera ensuite calculé avec les réceptions et les ventes.</t>
      </text>
    </comment>
    <comment ref="H21" authorId="0" shapeId="0">
      <text>
        <t>Prix unitaire retranscrit du PDF fournisseur. La devise/les taxes de cette feuille ont été confirmées par l’utilisateur comme FCFA HT.</t>
      </text>
    </comment>
    <comment ref="J21" authorId="0" shapeId="0">
      <text>
        <t>Champ laissé vide conformément à votre choix de saisir les tarifs client manuellement. Les repères du catalogue ESS sont dans la colonne précédente et dans l’onglet Tarifs ESS.</t>
      </text>
    </comment>
    <comment ref="O21" authorId="0" shapeId="0">
      <text>
        <t>Saisir le stock constaté au démarrage; le stock théorique sera ensuite calculé avec les réceptions et les ventes.</t>
      </text>
    </comment>
    <comment ref="H22" authorId="0" shapeId="0">
      <text>
        <t>Prix unitaire retranscrit du PDF fournisseur. La devise/les taxes de cette feuille ont été confirmées par l’utilisateur comme FCFA HT.</t>
      </text>
    </comment>
    <comment ref="J22" authorId="0" shapeId="0">
      <text>
        <t>Champ laissé vide conformément à votre choix de saisir les tarifs client manuellement. Les repères du catalogue ESS sont dans la colonne précédente et dans l’onglet Tarifs ESS.</t>
      </text>
    </comment>
    <comment ref="O22" authorId="0" shapeId="0">
      <text>
        <t>Saisir le stock constaté au démarrage; le stock théorique sera ensuite calculé avec les réceptions et les ventes.</t>
      </text>
    </comment>
    <comment ref="H23" authorId="0" shapeId="0">
      <text>
        <t>Prix unitaire retranscrit du PDF fournisseur. La devise/les taxes de cette feuille ont été confirmées par l’utilisateur comme FCFA HT.</t>
      </text>
    </comment>
    <comment ref="J23" authorId="0" shapeId="0">
      <text>
        <t>Champ laissé vide conformément à votre choix de saisir les tarifs client manuellement. Les repères du catalogue ESS sont dans la colonne précédente et dans l’onglet Tarifs ESS.</t>
      </text>
    </comment>
    <comment ref="O23" authorId="0" shapeId="0">
      <text>
        <t>Saisir le stock constaté au démarrage; le stock théorique sera ensuite calculé avec les réceptions et les ventes.</t>
      </text>
    </comment>
    <comment ref="H24" authorId="0" shapeId="0">
      <text>
        <t>Prix unitaire retranscrit du PDF fournisseur. La devise/les taxes de cette feuille ont été confirmées par l’utilisateur comme FCFA HT.</t>
      </text>
    </comment>
    <comment ref="J24" authorId="0" shapeId="0">
      <text>
        <t>Champ laissé vide conformément à votre choix de saisir les tarifs client manuellement. Les repères du catalogue ESS sont dans la colonne précédente et dans l’onglet Tarifs ESS.</t>
      </text>
    </comment>
    <comment ref="O24" authorId="0" shapeId="0">
      <text>
        <t>Saisir le stock constaté au démarrage; le stock théorique sera ensuite calculé avec les réceptions et les ventes.</t>
      </text>
    </comment>
    <comment ref="H25" authorId="0" shapeId="0">
      <text>
        <t>Prix unitaire retranscrit du PDF fournisseur. La devise/les taxes de cette feuille ont été confirmées par l’utilisateur comme FCFA HT.</t>
      </text>
    </comment>
    <comment ref="J25" authorId="0" shapeId="0">
      <text>
        <t>Champ laissé vide conformément à votre choix de saisir les tarifs client manuellement. Les repères du catalogue ESS sont dans la colonne précédente et dans l’onglet Tarifs ESS.</t>
      </text>
    </comment>
    <comment ref="O25" authorId="0" shapeId="0">
      <text>
        <t>Saisir le stock constaté au démarrage; le stock théorique sera ensuite calculé avec les réceptions et les ventes.</t>
      </text>
    </comment>
    <comment ref="H26" authorId="0" shapeId="0">
      <text>
        <t>Prix unitaire retranscrit du PDF fournisseur. La devise/les taxes de cette feuille ont été confirmées par l’utilisateur comme FCFA HT.</t>
      </text>
    </comment>
    <comment ref="J26" authorId="0" shapeId="0">
      <text>
        <t>Champ laissé vide conformément à votre choix de saisir les tarifs client manuellement. Les repères du catalogue ESS sont dans la colonne précédente et dans l’onglet Tarifs ESS.</t>
      </text>
    </comment>
    <comment ref="O26" authorId="0" shapeId="0">
      <text>
        <t>Saisir le stock constaté au démarrage; le stock théorique sera ensuite calculé avec les réceptions et les ventes.</t>
      </text>
    </comment>
    <comment ref="H27" authorId="0" shapeId="0">
      <text>
        <t>Prix unitaire retranscrit du PDF fournisseur. La devise/les taxes de cette feuille ont été confirmées par l’utilisateur comme FCFA HT.</t>
      </text>
    </comment>
    <comment ref="J27" authorId="0" shapeId="0">
      <text>
        <t>Champ laissé vide conformément à votre choix de saisir les tarifs client manuellement. Les repères du catalogue ESS sont dans la colonne précédente et dans l’onglet Tarifs ESS.</t>
      </text>
    </comment>
    <comment ref="O27" authorId="0" shapeId="0">
      <text>
        <t>Saisir le stock constaté au démarrage; le stock théorique sera ensuite calculé avec les réceptions et les ventes.</t>
      </text>
    </comment>
    <comment ref="H28" authorId="0" shapeId="0">
      <text>
        <t>Prix unitaire retranscrit du PDF fournisseur. La devise/les taxes de cette feuille ont été confirmées par l’utilisateur comme FCFA HT.</t>
      </text>
    </comment>
    <comment ref="J28" authorId="0" shapeId="0">
      <text>
        <t>Champ laissé vide conformément à votre choix de saisir les tarifs client manuellement. Les repères du catalogue ESS sont dans la colonne précédente et dans l’onglet Tarifs ESS.</t>
      </text>
    </comment>
    <comment ref="O28" authorId="0" shapeId="0">
      <text>
        <t>Saisir le stock constaté au démarrage; le stock théorique sera ensuite calculé avec les réceptions et les ventes.</t>
      </text>
    </comment>
    <comment ref="H29" authorId="0" shapeId="0">
      <text>
        <t>Prix unitaire retranscrit du PDF fournisseur. La devise/les taxes de cette feuille ont été confirmées par l’utilisateur comme FCFA HT.</t>
      </text>
    </comment>
    <comment ref="J29" authorId="0" shapeId="0">
      <text>
        <t>Champ laissé vide conformément à votre choix de saisir les tarifs client manuellement. Les repères du catalogue ESS sont dans la colonne précédente et dans l’onglet Tarifs ESS.</t>
      </text>
    </comment>
    <comment ref="O29" authorId="0" shapeId="0">
      <text>
        <t>Saisir le stock constaté au démarrage; le stock théorique sera ensuite calculé avec les réceptions et les ventes.</t>
      </text>
    </comment>
    <comment ref="H30" authorId="0" shapeId="0">
      <text>
        <t>Prix unitaire retranscrit du PDF fournisseur. La devise/les taxes de cette feuille ont été confirmées par l’utilisateur comme FCFA HT.</t>
      </text>
    </comment>
    <comment ref="J30" authorId="0" shapeId="0">
      <text>
        <t>Champ laissé vide conformément à votre choix de saisir les tarifs client manuellement. Les repères du catalogue ESS sont dans la colonne précédente et dans l’onglet Tarifs ESS.</t>
      </text>
    </comment>
    <comment ref="O30" authorId="0" shapeId="0">
      <text>
        <t>Saisir le stock constaté au démarrage; le stock théorique sera ensuite calculé avec les réceptions et les ventes.</t>
      </text>
    </comment>
    <comment ref="H31" authorId="0" shapeId="0">
      <text>
        <t>Prix unitaire retranscrit du PDF fournisseur. La devise/les taxes de cette feuille ont été confirmées par l’utilisateur comme FCFA HT.</t>
      </text>
    </comment>
    <comment ref="J31" authorId="0" shapeId="0">
      <text>
        <t>Champ laissé vide conformément à votre choix de saisir les tarifs client manuellement. Les repères du catalogue ESS sont dans la colonne précédente et dans l’onglet Tarifs ESS.</t>
      </text>
    </comment>
    <comment ref="O31" authorId="0" shapeId="0">
      <text>
        <t>Saisir le stock constaté au démarrage; le stock théorique sera ensuite calculé avec les réceptions et les ventes.</t>
      </text>
    </comment>
    <comment ref="H32" authorId="0" shapeId="0">
      <text>
        <t>Prix unitaire retranscrit du PDF fournisseur. La devise/les taxes de cette feuille ont été confirmées par l’utilisateur comme FCFA HT.</t>
      </text>
    </comment>
    <comment ref="J32" authorId="0" shapeId="0">
      <text>
        <t>Champ laissé vide conformément à votre choix de saisir les tarifs client manuellement. Les repères du catalogue ESS sont dans la colonne précédente et dans l’onglet Tarifs ESS.</t>
      </text>
    </comment>
    <comment ref="O32" authorId="0" shapeId="0">
      <text>
        <t>Saisir le stock constaté au démarrage; le stock théorique sera ensuite calculé avec les réceptions et les ventes.</t>
      </text>
    </comment>
    <comment ref="H33" authorId="0" shapeId="0">
      <text>
        <t>Prix unitaire retranscrit du PDF fournisseur. La devise/les taxes de cette feuille ont été confirmées par l’utilisateur comme FCFA HT.</t>
      </text>
    </comment>
    <comment ref="J33" authorId="0" shapeId="0">
      <text>
        <t>Champ laissé vide conformément à votre choix de saisir les tarifs client manuellement. Les repères du catalogue ESS sont dans la colonne précédente et dans l’onglet Tarifs ESS.</t>
      </text>
    </comment>
    <comment ref="O33" authorId="0" shapeId="0">
      <text>
        <t>Saisir le stock constaté au démarrage; le stock théorique sera ensuite calculé avec les réceptions et les ventes.</t>
      </text>
    </comment>
    <comment ref="H34" authorId="0" shapeId="0">
      <text>
        <t>Prix unitaire retranscrit du PDF fournisseur. La devise/les taxes de cette feuille ont été confirmées par l’utilisateur comme FCFA HT.</t>
      </text>
    </comment>
    <comment ref="J34" authorId="0" shapeId="0">
      <text>
        <t>Champ laissé vide conformément à votre choix de saisir les tarifs client manuellement. Les repères du catalogue ESS sont dans la colonne précédente et dans l’onglet Tarifs ESS.</t>
      </text>
    </comment>
    <comment ref="O34" authorId="0" shapeId="0">
      <text>
        <t>Saisir le stock constaté au démarrage; le stock théorique sera ensuite calculé avec les réceptions et les ventes.</t>
      </text>
    </comment>
    <comment ref="H35" authorId="0" shapeId="0">
      <text>
        <t>Prix unitaire retranscrit du PDF fournisseur. La devise/les taxes de cette feuille ont été confirmées par l’utilisateur comme FCFA HT.</t>
      </text>
    </comment>
    <comment ref="J35" authorId="0" shapeId="0">
      <text>
        <t>Champ laissé vide conformément à votre choix de saisir les tarifs client manuellement. Les repères du catalogue ESS sont dans la colonne précédente et dans l’onglet Tarifs ESS.</t>
      </text>
    </comment>
    <comment ref="O35" authorId="0" shapeId="0">
      <text>
        <t>Saisir le stock constaté au démarrage; le stock théorique sera ensuite calculé avec les réceptions et les ventes.</t>
      </text>
    </comment>
    <comment ref="H36" authorId="0" shapeId="0">
      <text>
        <t>Prix unitaire retranscrit du PDF fournisseur. La devise/les taxes de cette feuille ont été confirmées par l’utilisateur comme FCFA HT.</t>
      </text>
    </comment>
    <comment ref="J36" authorId="0" shapeId="0">
      <text>
        <t>Champ laissé vide conformément à votre choix de saisir les tarifs client manuellement. Les repères du catalogue ESS sont dans la colonne précédente et dans l’onglet Tarifs ESS.</t>
      </text>
    </comment>
    <comment ref="O36" authorId="0" shapeId="0">
      <text>
        <t>Saisir le stock constaté au démarrage; le stock théorique sera ensuite calculé avec les réceptions et les ventes.</t>
      </text>
    </comment>
    <comment ref="H37" authorId="0" shapeId="0">
      <text>
        <t>Prix unitaire retranscrit du PDF fournisseur. La devise/les taxes de cette feuille ont été confirmées par l’utilisateur comme FCFA HT.</t>
      </text>
    </comment>
    <comment ref="J37" authorId="0" shapeId="0">
      <text>
        <t>Champ laissé vide conformément à votre choix de saisir les tarifs client manuellement. Les repères du catalogue ESS sont dans la colonne précédente et dans l’onglet Tarifs ESS.</t>
      </text>
    </comment>
    <comment ref="O37" authorId="0" shapeId="0">
      <text>
        <t>Saisir le stock constaté au démarrage; le stock théorique sera ensuite calculé avec les réceptions et les ventes.</t>
      </text>
    </comment>
    <comment ref="H38" authorId="0" shapeId="0">
      <text>
        <t>Prix unitaire retranscrit du PDF fournisseur. La devise/les taxes de cette feuille ont été confirmées par l’utilisateur comme FCFA HT.</t>
      </text>
    </comment>
    <comment ref="J38" authorId="0" shapeId="0">
      <text>
        <t>Champ laissé vide conformément à votre choix de saisir les tarifs client manuellement. Les repères du catalogue ESS sont dans la colonne précédente et dans l’onglet Tarifs ESS.</t>
      </text>
    </comment>
    <comment ref="O38" authorId="0" shapeId="0">
      <text>
        <t>Saisir le stock constaté au démarrage; le stock théorique sera ensuite calculé avec les réceptions et les ventes.</t>
      </text>
    </comment>
    <comment ref="H39" authorId="0" shapeId="0">
      <text>
        <t>Prix unitaire retranscrit du PDF fournisseur. La devise/les taxes de cette feuille ont été confirmées par l’utilisateur comme FCFA HT.</t>
      </text>
    </comment>
    <comment ref="J39" authorId="0" shapeId="0">
      <text>
        <t>Champ laissé vide conformément à votre choix de saisir les tarifs client manuellement. Les repères du catalogue ESS sont dans la colonne précédente et dans l’onglet Tarifs ESS.</t>
      </text>
    </comment>
    <comment ref="O39" authorId="0" shapeId="0">
      <text>
        <t>Saisir le stock constaté au démarrage; le stock théorique sera ensuite calculé avec les réceptions et les ventes.</t>
      </text>
    </comment>
    <comment ref="H40" authorId="0" shapeId="0">
      <text>
        <t>Prix unitaire retranscrit du PDF fournisseur. La devise/les taxes de cette feuille ont été confirmées par l’utilisateur comme FCFA HT.</t>
      </text>
    </comment>
    <comment ref="J40" authorId="0" shapeId="0">
      <text>
        <t>Champ laissé vide conformément à votre choix de saisir les tarifs client manuellement. Les repères du catalogue ESS sont dans la colonne précédente et dans l’onglet Tarifs ESS.</t>
      </text>
    </comment>
    <comment ref="O40" authorId="0" shapeId="0">
      <text>
        <t>Saisir le stock constaté au démarrage; le stock théorique sera ensuite calculé avec les réceptions et les ventes.</t>
      </text>
    </comment>
    <comment ref="H41" authorId="0" shapeId="0">
      <text>
        <t>Prix unitaire retranscrit du PDF fournisseur. La devise/les taxes de cette feuille ont été confirmées par l’utilisateur comme FCFA HT.</t>
      </text>
    </comment>
    <comment ref="J41" authorId="0" shapeId="0">
      <text>
        <t>Champ laissé vide conformément à votre choix de saisir les tarifs client manuellement. Les repères du catalogue ESS sont dans la colonne précédente et dans l’onglet Tarifs ESS.</t>
      </text>
    </comment>
    <comment ref="O41" authorId="0" shapeId="0">
      <text>
        <t>Saisir le stock constaté au démarrage; le stock théorique sera ensuite calculé avec les réceptions et les ventes.</t>
      </text>
    </comment>
    <comment ref="H42" authorId="0" shapeId="0">
      <text>
        <t>Prix unitaire retranscrit du PDF fournisseur. La devise/les taxes de cette feuille ont été confirmées par l’utilisateur comme FCFA HT.</t>
      </text>
    </comment>
    <comment ref="J42" authorId="0" shapeId="0">
      <text>
        <t>Champ laissé vide conformément à votre choix de saisir les tarifs client manuellement. Les repères du catalogue ESS sont dans la colonne précédente et dans l’onglet Tarifs ESS.</t>
      </text>
    </comment>
    <comment ref="O42" authorId="0" shapeId="0">
      <text>
        <t>Saisir le stock constaté au démarrage; le stock théorique sera ensuite calculé avec les réceptions et les ventes.</t>
      </text>
    </comment>
    <comment ref="H43" authorId="0" shapeId="0">
      <text>
        <t>Prix unitaire retranscrit du PDF fournisseur. La devise/les taxes de cette feuille ont été confirmées par l’utilisateur comme FCFA HT.</t>
      </text>
    </comment>
    <comment ref="J43" authorId="0" shapeId="0">
      <text>
        <t>Champ laissé vide conformément à votre choix de saisir les tarifs client manuellement. Les repères du catalogue ESS sont dans la colonne précédente et dans l’onglet Tarifs ESS.</t>
      </text>
    </comment>
    <comment ref="O43" authorId="0" shapeId="0">
      <text>
        <t>Saisir le stock constaté au démarrage; le stock théorique sera ensuite calculé avec les réceptions et les ventes.</t>
      </text>
    </comment>
    <comment ref="H44" authorId="0" shapeId="0">
      <text>
        <t>Prix unitaire retranscrit du PDF fournisseur. La devise/les taxes de cette feuille ont été confirmées par l’utilisateur comme FCFA HT.</t>
      </text>
    </comment>
    <comment ref="J44" authorId="0" shapeId="0">
      <text>
        <t>Champ laissé vide conformément à votre choix de saisir les tarifs client manuellement. Les repères du catalogue ESS sont dans la colonne précédente et dans l’onglet Tarifs ESS.</t>
      </text>
    </comment>
    <comment ref="O44" authorId="0" shapeId="0">
      <text>
        <t>Saisir le stock constaté au démarrage; le stock théorique sera ensuite calculé avec les réceptions et les ventes.</t>
      </text>
    </comment>
    <comment ref="H45" authorId="0" shapeId="0">
      <text>
        <t>Prix unitaire retranscrit du PDF fournisseur. La devise/les taxes de cette feuille ont été confirmées par l’utilisateur comme FCFA HT.</t>
      </text>
    </comment>
    <comment ref="J45" authorId="0" shapeId="0">
      <text>
        <t>Champ laissé vide conformément à votre choix de saisir les tarifs client manuellement. Les repères du catalogue ESS sont dans la colonne précédente et dans l’onglet Tarifs ESS.</t>
      </text>
    </comment>
    <comment ref="O45" authorId="0" shapeId="0">
      <text>
        <t>Saisir le stock constaté au démarrage; le stock théorique sera ensuite calculé avec les réceptions et les ventes.</t>
      </text>
    </comment>
    <comment ref="H46" authorId="0" shapeId="0">
      <text>
        <t>Prix unitaire retranscrit du PDF fournisseur. La devise/les taxes de cette feuille ont été confirmées par l’utilisateur comme FCFA HT.</t>
      </text>
    </comment>
    <comment ref="J46" authorId="0" shapeId="0">
      <text>
        <t>Champ laissé vide conformément à votre choix de saisir les tarifs client manuellement. Les repères du catalogue ESS sont dans la colonne précédente et dans l’onglet Tarifs ESS.</t>
      </text>
    </comment>
    <comment ref="O46" authorId="0" shapeId="0">
      <text>
        <t>Saisir le stock constaté au démarrage; le stock théorique sera ensuite calculé avec les réceptions et les ventes.</t>
      </text>
    </comment>
    <comment ref="H47" authorId="0" shapeId="0">
      <text>
        <t>Prix unitaire retranscrit du PDF fournisseur. La devise/les taxes de cette feuille ont été confirmées par l’utilisateur comme FCFA HT.</t>
      </text>
    </comment>
    <comment ref="J47" authorId="0" shapeId="0">
      <text>
        <t>Champ laissé vide conformément à votre choix de saisir les tarifs client manuellement. Les repères du catalogue ESS sont dans la colonne précédente et dans l’onglet Tarifs ESS.</t>
      </text>
    </comment>
    <comment ref="O47" authorId="0" shapeId="0">
      <text>
        <t>Saisir le stock constaté au démarrage; le stock théorique sera ensuite calculé avec les réceptions et les ventes.</t>
      </text>
    </comment>
    <comment ref="H48" authorId="0" shapeId="0">
      <text>
        <t>Prix unitaire retranscrit du PDF fournisseur. La devise/les taxes de cette feuille ont été confirmées par l’utilisateur comme FCFA HT.</t>
      </text>
    </comment>
    <comment ref="J48" authorId="0" shapeId="0">
      <text>
        <t>Champ laissé vide conformément à votre choix de saisir les tarifs client manuellement. Les repères du catalogue ESS sont dans la colonne précédente et dans l’onglet Tarifs ESS.</t>
      </text>
    </comment>
    <comment ref="O48" authorId="0" shapeId="0">
      <text>
        <t>Saisir le stock constaté au démarrage; le stock théorique sera ensuite calculé avec les réceptions et les ventes.</t>
      </text>
    </comment>
    <comment ref="H49" authorId="0" shapeId="0">
      <text>
        <t>Prix unitaire retranscrit du PDF fournisseur. La devise/les taxes de cette feuille ont été confirmées par l’utilisateur comme FCFA HT.</t>
      </text>
    </comment>
    <comment ref="J49" authorId="0" shapeId="0">
      <text>
        <t>Champ laissé vide conformément à votre choix de saisir les tarifs client manuellement. Les repères du catalogue ESS sont dans la colonne précédente et dans l’onglet Tarifs ESS.</t>
      </text>
    </comment>
    <comment ref="O49" authorId="0" shapeId="0">
      <text>
        <t>Saisir le stock constaté au démarrage; le stock théorique sera ensuite calculé avec les réceptions et les ventes.</t>
      </text>
    </comment>
    <comment ref="H50" authorId="0" shapeId="0">
      <text>
        <t>Prix unitaire retranscrit du PDF fournisseur. La devise/les taxes de cette feuille ont été confirmées par l’utilisateur comme FCFA HT.</t>
      </text>
    </comment>
    <comment ref="J50" authorId="0" shapeId="0">
      <text>
        <t>Champ laissé vide conformément à votre choix de saisir les tarifs client manuellement. Les repères du catalogue ESS sont dans la colonne précédente et dans l’onglet Tarifs ESS.</t>
      </text>
    </comment>
    <comment ref="O50" authorId="0" shapeId="0">
      <text>
        <t>Saisir le stock constaté au démarrage; le stock théorique sera ensuite calculé avec les réceptions et les ventes.</t>
      </text>
    </comment>
    <comment ref="H51" authorId="0" shapeId="0">
      <text>
        <t>Prix unitaire retranscrit du PDF fournisseur. La devise/les taxes de cette feuille ont été confirmées par l’utilisateur comme FCFA HT.</t>
      </text>
    </comment>
    <comment ref="J51" authorId="0" shapeId="0">
      <text>
        <t>Champ laissé vide conformément à votre choix de saisir les tarifs client manuellement. Les repères du catalogue ESS sont dans la colonne précédente et dans l’onglet Tarifs ESS.</t>
      </text>
    </comment>
    <comment ref="O51" authorId="0" shapeId="0">
      <text>
        <t>Saisir le stock constaté au démarrage; le stock théorique sera ensuite calculé avec les réceptions et les ventes.</t>
      </text>
    </comment>
    <comment ref="H52" authorId="0" shapeId="0">
      <text>
        <t>Prix unitaire retranscrit du PDF fournisseur. La devise/les taxes de cette feuille ont été confirmées par l’utilisateur comme FCFA HT.</t>
      </text>
    </comment>
    <comment ref="J52" authorId="0" shapeId="0">
      <text>
        <t>Champ laissé vide conformément à votre choix de saisir les tarifs client manuellement. Les repères du catalogue ESS sont dans la colonne précédente et dans l’onglet Tarifs ESS.</t>
      </text>
    </comment>
    <comment ref="O52" authorId="0" shapeId="0">
      <text>
        <t>Saisir le stock constaté au démarrage; le stock théorique sera ensuite calculé avec les réceptions et les ventes.</t>
      </text>
    </comment>
    <comment ref="H53" authorId="0" shapeId="0">
      <text>
        <t>Prix unitaire retranscrit du PDF fournisseur. La devise/les taxes de cette feuille ont été confirmées par l’utilisateur comme FCFA HT.</t>
      </text>
    </comment>
    <comment ref="J53" authorId="0" shapeId="0">
      <text>
        <t>Champ laissé vide conformément à votre choix de saisir les tarifs client manuellement. Les repères du catalogue ESS sont dans la colonne précédente et dans l’onglet Tarifs ESS.</t>
      </text>
    </comment>
    <comment ref="O53" authorId="0" shapeId="0">
      <text>
        <t>Saisir le stock constaté au démarrage; le stock théorique sera ensuite calculé avec les réceptions et les ventes.</t>
      </text>
    </comment>
    <comment ref="H54" authorId="0" shapeId="0">
      <text>
        <t>Prix unitaire retranscrit du PDF fournisseur. La devise/les taxes de cette feuille ont été confirmées par l’utilisateur comme FCFA HT.</t>
      </text>
    </comment>
    <comment ref="J54" authorId="0" shapeId="0">
      <text>
        <t>Champ laissé vide conformément à votre choix de saisir les tarifs client manuellement. Les repères du catalogue ESS sont dans la colonne précédente et dans l’onglet Tarifs ESS.</t>
      </text>
    </comment>
    <comment ref="O54" authorId="0" shapeId="0">
      <text>
        <t>Saisir le stock constaté au démarrage; le stock théorique sera ensuite calculé avec les réceptions et les ventes.</t>
      </text>
    </comment>
    <comment ref="H55" authorId="0" shapeId="0">
      <text>
        <t>Prix unitaire retranscrit du PDF fournisseur. La devise/les taxes de cette feuille ont été confirmées par l’utilisateur comme FCFA HT.</t>
      </text>
    </comment>
    <comment ref="J55" authorId="0" shapeId="0">
      <text>
        <t>Champ laissé vide conformément à votre choix de saisir les tarifs client manuellement. Les repères du catalogue ESS sont dans la colonne précédente et dans l’onglet Tarifs ESS.</t>
      </text>
    </comment>
    <comment ref="O55" authorId="0" shapeId="0">
      <text>
        <t>Saisir le stock constaté au démarrage; le stock théorique sera ensuite calculé avec les réceptions et les ventes.</t>
      </text>
    </comment>
    <comment ref="H56" authorId="0" shapeId="0">
      <text>
        <t>Prix unitaire retranscrit du PDF fournisseur. La devise/les taxes de cette feuille ont été confirmées par l’utilisateur comme FCFA HT.</t>
      </text>
    </comment>
    <comment ref="J56" authorId="0" shapeId="0">
      <text>
        <t>Champ laissé vide conformément à votre choix de saisir les tarifs client manuellement. Les repères du catalogue ESS sont dans la colonne précédente et dans l’onglet Tarifs ESS.</t>
      </text>
    </comment>
    <comment ref="O56" authorId="0" shapeId="0">
      <text>
        <t>Saisir le stock constaté au démarrage; le stock théorique sera ensuite calculé avec les réceptions et les ventes.</t>
      </text>
    </comment>
    <comment ref="H57" authorId="0" shapeId="0">
      <text>
        <t>Prix unitaire retranscrit du PDF fournisseur. La devise/les taxes de cette feuille ont été confirmées par l’utilisateur comme FCFA HT.</t>
      </text>
    </comment>
    <comment ref="J57" authorId="0" shapeId="0">
      <text>
        <t>Champ laissé vide conformément à votre choix de saisir les tarifs client manuellement. Les repères du catalogue ESS sont dans la colonne précédente et dans l’onglet Tarifs ESS.</t>
      </text>
    </comment>
    <comment ref="O57" authorId="0" shapeId="0">
      <text>
        <t>Saisir le stock constaté au démarrage; le stock théorique sera ensuite calculé avec les réceptions et les ventes.</t>
      </text>
    </comment>
    <comment ref="H58" authorId="0" shapeId="0">
      <text>
        <t>Prix unitaire retranscrit du PDF fournisseur. La devise/les taxes de cette feuille ont été confirmées par l’utilisateur comme FCFA HT.</t>
      </text>
    </comment>
    <comment ref="J58" authorId="0" shapeId="0">
      <text>
        <t>Champ laissé vide conformément à votre choix de saisir les tarifs client manuellement. Les repères du catalogue ESS sont dans la colonne précédente et dans l’onglet Tarifs ESS.</t>
      </text>
    </comment>
    <comment ref="O58" authorId="0" shapeId="0">
      <text>
        <t>Saisir le stock constaté au démarrage; le stock théorique sera ensuite calculé avec les réceptions et les ventes.</t>
      </text>
    </comment>
    <comment ref="H59" authorId="0" shapeId="0">
      <text>
        <t>Prix unitaire retranscrit du PDF fournisseur. La devise/les taxes de cette feuille ont été confirmées par l’utilisateur comme FCFA HT.</t>
      </text>
    </comment>
    <comment ref="J59" authorId="0" shapeId="0">
      <text>
        <t>Champ laissé vide conformément à votre choix de saisir les tarifs client manuellement. Les repères du catalogue ESS sont dans la colonne précédente et dans l’onglet Tarifs ESS.</t>
      </text>
    </comment>
    <comment ref="O59" authorId="0" shapeId="0">
      <text>
        <t>Saisir le stock constaté au démarrage; le stock théorique sera ensuite calculé avec les réceptions et les ventes.</t>
      </text>
    </comment>
    <comment ref="H60" authorId="0" shapeId="0">
      <text>
        <t>Prix unitaire retranscrit du PDF fournisseur. La devise/les taxes de cette feuille ont été confirmées par l’utilisateur comme FCFA HT.</t>
      </text>
    </comment>
    <comment ref="J60" authorId="0" shapeId="0">
      <text>
        <t>Champ laissé vide conformément à votre choix de saisir les tarifs client manuellement. Les repères du catalogue ESS sont dans la colonne précédente et dans l’onglet Tarifs ESS.</t>
      </text>
    </comment>
    <comment ref="O60" authorId="0" shapeId="0">
      <text>
        <t>Saisir le stock constaté au démarrage; le stock théorique sera ensuite calculé avec les réceptions et les ventes.</t>
      </text>
    </comment>
    <comment ref="H61" authorId="0" shapeId="0">
      <text>
        <t>Prix unitaire retranscrit du PDF fournisseur. La devise/les taxes de cette feuille ont été confirmées par l’utilisateur comme FCFA HT.</t>
      </text>
    </comment>
    <comment ref="J61" authorId="0" shapeId="0">
      <text>
        <t>Champ laissé vide conformément à votre choix de saisir les tarifs client manuellement. Les repères du catalogue ESS sont dans la colonne précédente et dans l’onglet Tarifs ESS.</t>
      </text>
    </comment>
    <comment ref="O61" authorId="0" shapeId="0">
      <text>
        <t>Saisir le stock constaté au démarrage; le stock théorique sera ensuite calculé avec les réceptions et les ventes.</t>
      </text>
    </comment>
    <comment ref="H62" authorId="0" shapeId="0">
      <text>
        <t>Prix unitaire retranscrit du PDF fournisseur. La devise/les taxes de cette feuille ont été confirmées par l’utilisateur comme FCFA HT.</t>
      </text>
    </comment>
    <comment ref="J62" authorId="0" shapeId="0">
      <text>
        <t>Champ laissé vide conformément à votre choix de saisir les tarifs client manuellement. Les repères du catalogue ESS sont dans la colonne précédente et dans l’onglet Tarifs ESS.</t>
      </text>
    </comment>
    <comment ref="O62" authorId="0" shapeId="0">
      <text>
        <t>Saisir le stock constaté au démarrage; le stock théorique sera ensuite calculé avec les réceptions et les ventes.</t>
      </text>
    </comment>
    <comment ref="H63" authorId="0" shapeId="0">
      <text>
        <t>Prix unitaire retranscrit du PDF fournisseur. La devise/les taxes de cette feuille ont été confirmées par l’utilisateur comme FCFA HT.</t>
      </text>
    </comment>
    <comment ref="J63" authorId="0" shapeId="0">
      <text>
        <t>Champ laissé vide conformément à votre choix de saisir les tarifs client manuellement. Les repères du catalogue ESS sont dans la colonne précédente et dans l’onglet Tarifs ESS.</t>
      </text>
    </comment>
    <comment ref="O63" authorId="0" shapeId="0">
      <text>
        <t>Saisir le stock constaté au démarrage; le stock théorique sera ensuite calculé avec les réceptions et les ventes.</t>
      </text>
    </comment>
    <comment ref="H64" authorId="0" shapeId="0">
      <text>
        <t>Prix unitaire retranscrit du PDF fournisseur. La devise/les taxes de cette feuille ont été confirmées par l’utilisateur comme FCFA HT.</t>
      </text>
    </comment>
    <comment ref="J64" authorId="0" shapeId="0">
      <text>
        <t>Champ laissé vide conformément à votre choix de saisir les tarifs client manuellement. Les repères du catalogue ESS sont dans la colonne précédente et dans l’onglet Tarifs ESS.</t>
      </text>
    </comment>
    <comment ref="O64" authorId="0" shapeId="0">
      <text>
        <t>Saisir le stock constaté au démarrage; le stock théorique sera ensuite calculé avec les réceptions et les ventes.</t>
      </text>
    </comment>
    <comment ref="H65" authorId="0" shapeId="0">
      <text>
        <t>Prix unitaire retranscrit du PDF fournisseur. La devise/les taxes de cette feuille ont été confirmées par l’utilisateur comme FCFA HT.</t>
      </text>
    </comment>
    <comment ref="J65" authorId="0" shapeId="0">
      <text>
        <t>Champ laissé vide conformément à votre choix de saisir les tarifs client manuellement. Les repères du catalogue ESS sont dans la colonne précédente et dans l’onglet Tarifs ESS.</t>
      </text>
    </comment>
    <comment ref="O65" authorId="0" shapeId="0">
      <text>
        <t>Saisir le stock constaté au démarrage; le stock théorique sera ensuite calculé avec les réceptions et les ventes.</t>
      </text>
    </comment>
    <comment ref="H66" authorId="0" shapeId="0">
      <text>
        <t>Prix unitaire retranscrit du PDF fournisseur. La devise/les taxes de cette feuille ont été confirmées par l’utilisateur comme FCFA HT.</t>
      </text>
    </comment>
    <comment ref="J66" authorId="0" shapeId="0">
      <text>
        <t>Champ laissé vide conformément à votre choix de saisir les tarifs client manuellement. Les repères du catalogue ESS sont dans la colonne précédente et dans l’onglet Tarifs ESS.</t>
      </text>
    </comment>
    <comment ref="O66" authorId="0" shapeId="0">
      <text>
        <t>Saisir le stock constaté au démarrage; le stock théorique sera ensuite calculé avec les réceptions et les ventes.</t>
      </text>
    </comment>
    <comment ref="H67" authorId="0" shapeId="0">
      <text>
        <t>Prix unitaire retranscrit du PDF fournisseur. La devise/les taxes de cette feuille ont été confirmées par l’utilisateur comme FCFA HT.</t>
      </text>
    </comment>
    <comment ref="J67" authorId="0" shapeId="0">
      <text>
        <t>Champ laissé vide conformément à votre choix de saisir les tarifs client manuellement. Les repères du catalogue ESS sont dans la colonne précédente et dans l’onglet Tarifs ESS.</t>
      </text>
    </comment>
    <comment ref="O67" authorId="0" shapeId="0">
      <text>
        <t>Saisir le stock constaté au démarrage; le stock théorique sera ensuite calculé avec les réceptions et les ventes.</t>
      </text>
    </comment>
    <comment ref="H68" authorId="0" shapeId="0">
      <text>
        <t>Prix unitaire retranscrit du PDF fournisseur. La devise/les taxes de cette feuille ont été confirmées par l’utilisateur comme FCFA HT.</t>
      </text>
    </comment>
    <comment ref="J68" authorId="0" shapeId="0">
      <text>
        <t>Champ laissé vide conformément à votre choix de saisir les tarifs client manuellement. Les repères du catalogue ESS sont dans la colonne précédente et dans l’onglet Tarifs ESS.</t>
      </text>
    </comment>
    <comment ref="O68" authorId="0" shapeId="0">
      <text>
        <t>Saisir le stock constaté au démarrage; le stock théorique sera ensuite calculé avec les réceptions et les ventes.</t>
      </text>
    </comment>
    <comment ref="H69" authorId="0" shapeId="0">
      <text>
        <t>Prix unitaire retranscrit du PDF fournisseur. La devise/les taxes de cette feuille ont été confirmées par l’utilisateur comme FCFA HT.</t>
      </text>
    </comment>
    <comment ref="J69" authorId="0" shapeId="0">
      <text>
        <t>Champ laissé vide conformément à votre choix de saisir les tarifs client manuellement. Les repères du catalogue ESS sont dans la colonne précédente et dans l’onglet Tarifs ESS.</t>
      </text>
    </comment>
    <comment ref="O69" authorId="0" shapeId="0">
      <text>
        <t>Saisir le stock constaté au démarrage; le stock théorique sera ensuite calculé avec les réceptions et les ventes.</t>
      </text>
    </comment>
    <comment ref="H70" authorId="0" shapeId="0">
      <text>
        <t>Prix unitaire retranscrit du PDF fournisseur. La devise/les taxes de cette feuille ont été confirmées par l’utilisateur comme FCFA HT.</t>
      </text>
    </comment>
    <comment ref="J70" authorId="0" shapeId="0">
      <text>
        <t>Champ laissé vide conformément à votre choix de saisir les tarifs client manuellement. Les repères du catalogue ESS sont dans la colonne précédente et dans l’onglet Tarifs ESS.</t>
      </text>
    </comment>
    <comment ref="O70" authorId="0" shapeId="0">
      <text>
        <t>Saisir le stock constaté au démarrage; le stock théorique sera ensuite calculé avec les réceptions et les ventes.</t>
      </text>
    </comment>
    <comment ref="H71" authorId="0" shapeId="0">
      <text>
        <t>Prix unitaire retranscrit du PDF fournisseur. La devise/les taxes de cette feuille ont été confirmées par l’utilisateur comme FCFA HT.</t>
      </text>
    </comment>
    <comment ref="J71" authorId="0" shapeId="0">
      <text>
        <t>Champ laissé vide conformément à votre choix de saisir les tarifs client manuellement. Les repères du catalogue ESS sont dans la colonne précédente et dans l’onglet Tarifs ESS.</t>
      </text>
    </comment>
    <comment ref="O71" authorId="0" shapeId="0">
      <text>
        <t>Saisir le stock constaté au démarrage; le stock théorique sera ensuite calculé avec les réceptions et les ventes.</t>
      </text>
    </comment>
    <comment ref="H72" authorId="0" shapeId="0">
      <text>
        <t>Prix unitaire retranscrit du PDF fournisseur. La devise/les taxes de cette feuille ont été confirmées par l’utilisateur comme FCFA HT.</t>
      </text>
    </comment>
    <comment ref="J72" authorId="0" shapeId="0">
      <text>
        <t>Champ laissé vide conformément à votre choix de saisir les tarifs client manuellement. Les repères du catalogue ESS sont dans la colonne précédente et dans l’onglet Tarifs ESS.</t>
      </text>
    </comment>
    <comment ref="O72" authorId="0" shapeId="0">
      <text>
        <t>Saisir le stock constaté au démarrage; le stock théorique sera ensuite calculé avec les réceptions et les ventes.</t>
      </text>
    </comment>
    <comment ref="H73" authorId="0" shapeId="0">
      <text>
        <t>Prix unitaire retranscrit du PDF fournisseur. La devise/les taxes de cette feuille ont été confirmées par l’utilisateur comme FCFA HT.</t>
      </text>
    </comment>
    <comment ref="J73" authorId="0" shapeId="0">
      <text>
        <t>Champ laissé vide conformément à votre choix de saisir les tarifs client manuellement. Les repères du catalogue ESS sont dans la colonne précédente et dans l’onglet Tarifs ESS.</t>
      </text>
    </comment>
    <comment ref="O73" authorId="0" shapeId="0">
      <text>
        <t>Saisir le stock constaté au démarrage; le stock théorique sera ensuite calculé avec les réceptions et les ventes.</t>
      </text>
    </comment>
    <comment ref="H74" authorId="0" shapeId="0">
      <text>
        <t>Prix unitaire retranscrit du PDF fournisseur. La devise/les taxes de cette feuille ont été confirmées par l’utilisateur comme FCFA HT.</t>
      </text>
    </comment>
    <comment ref="J74" authorId="0" shapeId="0">
      <text>
        <t>Champ laissé vide conformément à votre choix de saisir les tarifs client manuellement. Les repères du catalogue ESS sont dans la colonne précédente et dans l’onglet Tarifs ESS.</t>
      </text>
    </comment>
    <comment ref="O74" authorId="0" shapeId="0">
      <text>
        <t>Saisir le stock constaté au démarrage; le stock théorique sera ensuite calculé avec les réceptions et les ventes.</t>
      </text>
    </comment>
    <comment ref="H75" authorId="0" shapeId="0">
      <text>
        <t>Prix unitaire retranscrit du PDF fournisseur. La devise/les taxes de cette feuille ont été confirmées par l’utilisateur comme FCFA HT.</t>
      </text>
    </comment>
    <comment ref="J75" authorId="0" shapeId="0">
      <text>
        <t>Champ laissé vide conformément à votre choix de saisir les tarifs client manuellement. Les repères du catalogue ESS sont dans la colonne précédente et dans l’onglet Tarifs ESS.</t>
      </text>
    </comment>
    <comment ref="O75" authorId="0" shapeId="0">
      <text>
        <t>Saisir le stock constaté au démarrage; le stock théorique sera ensuite calculé avec les réceptions et les ventes.</t>
      </text>
    </comment>
    <comment ref="H76" authorId="0" shapeId="0">
      <text>
        <t>Prix unitaire retranscrit du PDF fournisseur. La devise/les taxes de cette feuille ont été confirmées par l’utilisateur comme FCFA HT.</t>
      </text>
    </comment>
    <comment ref="J76" authorId="0" shapeId="0">
      <text>
        <t>Champ laissé vide conformément à votre choix de saisir les tarifs client manuellement. Les repères du catalogue ESS sont dans la colonne précédente et dans l’onglet Tarifs ESS.</t>
      </text>
    </comment>
    <comment ref="O76" authorId="0" shapeId="0">
      <text>
        <t>Saisir le stock constaté au démarrage; le stock théorique sera ensuite calculé avec les réceptions et les ventes.</t>
      </text>
    </comment>
    <comment ref="H77" authorId="0" shapeId="0">
      <text>
        <t>Prix unitaire retranscrit du PDF fournisseur. La devise/les taxes de cette feuille ont été confirmées par l’utilisateur comme FCFA HT.</t>
      </text>
    </comment>
    <comment ref="J77" authorId="0" shapeId="0">
      <text>
        <t>Champ laissé vide conformément à votre choix de saisir les tarifs client manuellement. Les repères du catalogue ESS sont dans la colonne précédente et dans l’onglet Tarifs ESS.</t>
      </text>
    </comment>
    <comment ref="O77" authorId="0" shapeId="0">
      <text>
        <t>Saisir le stock constaté au démarrage; le stock théorique sera ensuite calculé avec les réceptions et les ventes.</t>
      </text>
    </comment>
    <comment ref="H78" authorId="0" shapeId="0">
      <text>
        <t>Prix unitaire retranscrit du PDF fournisseur. La devise/les taxes de cette feuille ont été confirmées par l’utilisateur comme FCFA HT.</t>
      </text>
    </comment>
    <comment ref="J78" authorId="0" shapeId="0">
      <text>
        <t>Champ laissé vide conformément à votre choix de saisir les tarifs client manuellement. Les repères du catalogue ESS sont dans la colonne précédente et dans l’onglet Tarifs ESS.</t>
      </text>
    </comment>
    <comment ref="O78" authorId="0" shapeId="0">
      <text>
        <t>Saisir le stock constaté au démarrage; le stock théorique sera ensuite calculé avec les réceptions et les ventes.</t>
      </text>
    </comment>
    <comment ref="H79" authorId="0" shapeId="0">
      <text>
        <t>Prix unitaire retranscrit du PDF fournisseur. La devise/les taxes de cette feuille ont été confirmées par l’utilisateur comme FCFA HT.</t>
      </text>
    </comment>
    <comment ref="J79" authorId="0" shapeId="0">
      <text>
        <t>Champ laissé vide conformément à votre choix de saisir les tarifs client manuellement. Les repères du catalogue ESS sont dans la colonne précédente et dans l’onglet Tarifs ESS.</t>
      </text>
    </comment>
    <comment ref="O79" authorId="0" shapeId="0">
      <text>
        <t>Saisir le stock constaté au démarrage; le stock théorique sera ensuite calculé avec les réceptions et les ventes.</t>
      </text>
    </comment>
    <comment ref="H80" authorId="0" shapeId="0">
      <text>
        <t>Prix unitaire retranscrit du PDF fournisseur. La devise/les taxes de cette feuille ont été confirmées par l’utilisateur comme FCFA HT.</t>
      </text>
    </comment>
    <comment ref="J80" authorId="0" shapeId="0">
      <text>
        <t>Champ laissé vide conformément à votre choix de saisir les tarifs client manuellement. Les repères du catalogue ESS sont dans la colonne précédente et dans l’onglet Tarifs ESS.</t>
      </text>
    </comment>
    <comment ref="O80" authorId="0" shapeId="0">
      <text>
        <t>Saisir le stock constaté au démarrage; le stock théorique sera ensuite calculé avec les réceptions et les ventes.</t>
      </text>
    </comment>
    <comment ref="H81" authorId="0" shapeId="0">
      <text>
        <t>Prix unitaire retranscrit du PDF fournisseur. La devise/les taxes de cette feuille ont été confirmées par l’utilisateur comme FCFA HT.</t>
      </text>
    </comment>
    <comment ref="J81" authorId="0" shapeId="0">
      <text>
        <t>Champ laissé vide conformément à votre choix de saisir les tarifs client manuellement. Les repères du catalogue ESS sont dans la colonne précédente et dans l’onglet Tarifs ESS.</t>
      </text>
    </comment>
    <comment ref="O81" authorId="0" shapeId="0">
      <text>
        <t>Saisir le stock constaté au démarrage; le stock théorique sera ensuite calculé avec les réceptions et les ventes.</t>
      </text>
    </comment>
    <comment ref="H82" authorId="0" shapeId="0">
      <text>
        <t>Prix unitaire retranscrit du PDF fournisseur. La devise/les taxes de cette feuille ont été confirmées par l’utilisateur comme FCFA HT.</t>
      </text>
    </comment>
    <comment ref="J82" authorId="0" shapeId="0">
      <text>
        <t>Champ laissé vide conformément à votre choix de saisir les tarifs client manuellement. Les repères du catalogue ESS sont dans la colonne précédente et dans l’onglet Tarifs ESS.</t>
      </text>
    </comment>
    <comment ref="O82" authorId="0" shapeId="0">
      <text>
        <t>Saisir le stock constaté au démarrage; le stock théorique sera ensuite calculé avec les réceptions et les ventes.</t>
      </text>
    </comment>
    <comment ref="H83" authorId="0" shapeId="0">
      <text>
        <t>Prix unitaire retranscrit du PDF fournisseur. La devise/les taxes de cette feuille ont été confirmées par l’utilisateur comme FCFA HT.</t>
      </text>
    </comment>
    <comment ref="J83" authorId="0" shapeId="0">
      <text>
        <t>Champ laissé vide conformément à votre choix de saisir les tarifs client manuellement. Les repères du catalogue ESS sont dans la colonne précédente et dans l’onglet Tarifs ESS.</t>
      </text>
    </comment>
    <comment ref="O83" authorId="0" shapeId="0">
      <text>
        <t>Saisir le stock constaté au démarrage; le stock théorique sera ensuite calculé avec les réceptions et les ventes.</t>
      </text>
    </comment>
    <comment ref="H84" authorId="0" shapeId="0">
      <text>
        <t>Prix unitaire retranscrit du PDF fournisseur. La devise/les taxes de cette feuille ont été confirmées par l’utilisateur comme FCFA HT.</t>
      </text>
    </comment>
    <comment ref="J84" authorId="0" shapeId="0">
      <text>
        <t>Champ laissé vide conformément à votre choix de saisir les tarifs client manuellement. Les repères du catalogue ESS sont dans la colonne précédente et dans l’onglet Tarifs ESS.</t>
      </text>
    </comment>
    <comment ref="O84" authorId="0" shapeId="0">
      <text>
        <t>Saisir le stock constaté au démarrage; le stock théorique sera ensuite calculé avec les réceptions et les ventes.</t>
      </text>
    </comment>
    <comment ref="H85" authorId="0" shapeId="0">
      <text>
        <t>Prix unitaire retranscrit du PDF fournisseur. La devise/les taxes de cette feuille ont été confirmées par l’utilisateur comme FCFA HT.</t>
      </text>
    </comment>
    <comment ref="J85" authorId="0" shapeId="0">
      <text>
        <t>Champ laissé vide conformément à votre choix de saisir les tarifs client manuellement. Les repères du catalogue ESS sont dans la colonne précédente et dans l’onglet Tarifs ESS.</t>
      </text>
    </comment>
    <comment ref="O85" authorId="0" shapeId="0">
      <text>
        <t>Saisir le stock constaté au démarrage; le stock théorique sera ensuite calculé avec les réceptions et les ventes.</t>
      </text>
    </comment>
    <comment ref="H86" authorId="0" shapeId="0">
      <text>
        <t>Prix unitaire retranscrit du PDF fournisseur. La devise/les taxes de cette feuille ont été confirmées par l’utilisateur comme FCFA HT.</t>
      </text>
    </comment>
    <comment ref="J86" authorId="0" shapeId="0">
      <text>
        <t>Champ laissé vide conformément à votre choix de saisir les tarifs client manuellement. Les repères du catalogue ESS sont dans la colonne précédente et dans l’onglet Tarifs ESS.</t>
      </text>
    </comment>
    <comment ref="O86" authorId="0" shapeId="0">
      <text>
        <t>Saisir le stock constaté au démarrage; le stock théorique sera ensuite calculé avec les réceptions et les ventes.</t>
      </text>
    </comment>
    <comment ref="H87" authorId="0" shapeId="0">
      <text>
        <t>Prix unitaire retranscrit du PDF fournisseur. La devise/les taxes de cette feuille ont été confirmées par l’utilisateur comme FCFA HT.</t>
      </text>
    </comment>
    <comment ref="J87" authorId="0" shapeId="0">
      <text>
        <t>Champ laissé vide conformément à votre choix de saisir les tarifs client manuellement. Les repères du catalogue ESS sont dans la colonne précédente et dans l’onglet Tarifs ESS.</t>
      </text>
    </comment>
    <comment ref="O87" authorId="0" shapeId="0">
      <text>
        <t>Saisir le stock constaté au démarrage; le stock théorique sera ensuite calculé avec les réceptions et les ventes.</t>
      </text>
    </comment>
    <comment ref="H88" authorId="0" shapeId="0">
      <text>
        <t>Prix unitaire retranscrit du PDF fournisseur. La devise/les taxes de cette feuille ont été confirmées par l’utilisateur comme FCFA HT.</t>
      </text>
    </comment>
    <comment ref="J88" authorId="0" shapeId="0">
      <text>
        <t>Champ laissé vide conformément à votre choix de saisir les tarifs client manuellement. Les repères du catalogue ESS sont dans la colonne précédente et dans l’onglet Tarifs ESS.</t>
      </text>
    </comment>
    <comment ref="O88" authorId="0" shapeId="0">
      <text>
        <t>Saisir le stock constaté au démarrage; le stock théorique sera ensuite calculé avec les réceptions et les ventes.</t>
      </text>
    </comment>
    <comment ref="H89" authorId="0" shapeId="0">
      <text>
        <t>Prix unitaire retranscrit du PDF fournisseur. La devise/les taxes de cette feuille ont été confirmées par l’utilisateur comme FCFA HT.</t>
      </text>
    </comment>
    <comment ref="J89" authorId="0" shapeId="0">
      <text>
        <t>Champ laissé vide conformément à votre choix de saisir les tarifs client manuellement. Les repères du catalogue ESS sont dans la colonne précédente et dans l’onglet Tarifs ESS.</t>
      </text>
    </comment>
    <comment ref="O89" authorId="0" shapeId="0">
      <text>
        <t>Saisir le stock constaté au démarrage; le stock théorique sera ensuite calculé avec les réceptions et les ventes.</t>
      </text>
    </comment>
    <comment ref="H90" authorId="0" shapeId="0">
      <text>
        <t>Prix unitaire retranscrit du PDF fournisseur. La devise/les taxes de cette feuille ont été confirmées par l’utilisateur comme FCFA HT.</t>
      </text>
    </comment>
    <comment ref="J90" authorId="0" shapeId="0">
      <text>
        <t>Champ laissé vide conformément à votre choix de saisir les tarifs client manuellement. Les repères du catalogue ESS sont dans la colonne précédente et dans l’onglet Tarifs ESS.</t>
      </text>
    </comment>
    <comment ref="O90" authorId="0" shapeId="0">
      <text>
        <t>Saisir le stock constaté au démarrage; le stock théorique sera ensuite calculé avec les réceptions et les ventes.</t>
      </text>
    </comment>
    <comment ref="H91" authorId="0" shapeId="0">
      <text>
        <t>Prix unitaire retranscrit du PDF fournisseur. La devise/les taxes de cette feuille ont été confirmées par l’utilisateur comme FCFA HT.</t>
      </text>
    </comment>
    <comment ref="J91" authorId="0" shapeId="0">
      <text>
        <t>Champ laissé vide conformément à votre choix de saisir les tarifs client manuellement. Les repères du catalogue ESS sont dans la colonne précédente et dans l’onglet Tarifs ESS.</t>
      </text>
    </comment>
    <comment ref="O91" authorId="0" shapeId="0">
      <text>
        <t>Saisir le stock constaté au démarrage; le stock théorique sera ensuite calculé avec les réceptions et les ventes.</t>
      </text>
    </comment>
  </commentList>
</comments>
</file>

<file path=xl/comments/comment2.xml><?xml version="1.0" encoding="utf-8"?>
<comments xmlns="http://schemas.openxmlformats.org/spreadsheetml/2006/main">
  <authors>
    <author>Arena.ai</author>
  </authors>
  <commentList>
    <comment ref="F5" authorId="0" shapeId="0">
      <text>
        <t>Saisie manuelle; le prix client n’est pas calculé automatiquement.</t>
      </text>
    </comment>
    <comment ref="F6" authorId="0" shapeId="0">
      <text>
        <t>Saisie manuelle; le prix client n’est pas calculé automatiquement.</t>
      </text>
    </comment>
    <comment ref="F7" authorId="0" shapeId="0">
      <text>
        <t>Saisie manuelle; le prix client n’est pas calculé automatiquement.</t>
      </text>
    </comment>
    <comment ref="F8" authorId="0" shapeId="0">
      <text>
        <t>Saisie manuelle; le prix client n’est pas calculé automatiquement.</t>
      </text>
    </comment>
    <comment ref="F9" authorId="0" shapeId="0">
      <text>
        <t>Saisie manuelle; le prix client n’est pas calculé automatiquement.</t>
      </text>
    </comment>
    <comment ref="F10" authorId="0" shapeId="0">
      <text>
        <t>Saisie manuelle; le prix client n’est pas calculé automatiquement.</t>
      </text>
    </comment>
    <comment ref="F11" authorId="0" shapeId="0">
      <text>
        <t>Saisie manuelle; le prix client n’est pas calculé automatiquement.</t>
      </text>
    </comment>
    <comment ref="F12" authorId="0" shapeId="0">
      <text>
        <t>Saisie manuelle; le prix client n’est pas calculé automatiquement.</t>
      </text>
    </comment>
    <comment ref="F13" authorId="0" shapeId="0">
      <text>
        <t>Saisie manuelle; le prix client n’est pas calculé automatiquement.</t>
      </text>
    </comment>
    <comment ref="F14" authorId="0" shapeId="0">
      <text>
        <t>Saisie manuelle; le prix client n’est pas calculé automatiquement.</t>
      </text>
    </comment>
    <comment ref="F15" authorId="0" shapeId="0">
      <text>
        <t>Saisie manuelle; le prix client n’est pas calculé automatiquement.</t>
      </text>
    </comment>
    <comment ref="F16" authorId="0" shapeId="0">
      <text>
        <t>Saisie manuelle; le prix client n’est pas calculé automatiquement.</t>
      </text>
    </comment>
    <comment ref="F17" authorId="0" shapeId="0">
      <text>
        <t>Saisie manuelle; le prix client n’est pas calculé automatiquement.</t>
      </text>
    </comment>
    <comment ref="F18" authorId="0" shapeId="0">
      <text>
        <t>Saisie manuelle; le prix client n’est pas calculé automatiquement.</t>
      </text>
    </comment>
    <comment ref="F19" authorId="0" shapeId="0">
      <text>
        <t>Saisie manuelle; le prix client n’est pas calculé automatiquement.</t>
      </text>
    </comment>
    <comment ref="F20" authorId="0" shapeId="0">
      <text>
        <t>Saisie manuelle; le prix client n’est pas calculé automatiquement.</t>
      </text>
    </comment>
    <comment ref="F21" authorId="0" shapeId="0">
      <text>
        <t>Saisie manuelle; le prix client n’est pas calculé automatiquement.</t>
      </text>
    </comment>
    <comment ref="F22" authorId="0" shapeId="0">
      <text>
        <t>Saisie manuelle; le prix client n’est pas calculé automatiquement.</t>
      </text>
    </comment>
    <comment ref="F23" authorId="0" shapeId="0">
      <text>
        <t>Saisie manuelle; le prix client n’est pas calculé automatiquement.</t>
      </text>
    </comment>
    <comment ref="F24" authorId="0" shapeId="0">
      <text>
        <t>Saisie manuelle; le prix client n’est pas calculé automatiquement.</t>
      </text>
    </comment>
    <comment ref="F25" authorId="0" shapeId="0">
      <text>
        <t>Saisie manuelle; le prix client n’est pas calculé automatiquement.</t>
      </text>
    </comment>
    <comment ref="F26" authorId="0" shapeId="0">
      <text>
        <t>Saisie manuelle; le prix client n’est pas calculé automatiquement.</t>
      </text>
    </comment>
    <comment ref="F27" authorId="0" shapeId="0">
      <text>
        <t>Saisie manuelle; le prix client n’est pas calculé automatiquement.</t>
      </text>
    </comment>
    <comment ref="F28" authorId="0" shapeId="0">
      <text>
        <t>Saisie manuelle; le prix client n’est pas calculé automatiquement.</t>
      </text>
    </comment>
    <comment ref="F29" authorId="0" shapeId="0">
      <text>
        <t>Saisie manuelle; le prix client n’est pas calculé automatiquement.</t>
      </text>
    </comment>
    <comment ref="F30" authorId="0" shapeId="0">
      <text>
        <t>Saisie manuelle; le prix client n’est pas calculé automatiquement.</t>
      </text>
    </comment>
    <comment ref="F31" authorId="0" shapeId="0">
      <text>
        <t>Saisie manuelle; le prix client n’est pas calculé automatiquement.</t>
      </text>
    </comment>
    <comment ref="F32" authorId="0" shapeId="0">
      <text>
        <t>Saisie manuelle; le prix client n’est pas calculé automatiquement.</t>
      </text>
    </comment>
    <comment ref="F33" authorId="0" shapeId="0">
      <text>
        <t>Saisie manuelle; le prix client n’est pas calculé automatiquement.</t>
      </text>
    </comment>
    <comment ref="F34" authorId="0" shapeId="0">
      <text>
        <t>Saisie manuelle; le prix client n’est pas calculé automatiquement.</t>
      </text>
    </comment>
    <comment ref="F35" authorId="0" shapeId="0">
      <text>
        <t>Saisie manuelle; le prix client n’est pas calculé automatiquement.</t>
      </text>
    </comment>
    <comment ref="F36" authorId="0" shapeId="0">
      <text>
        <t>Saisie manuelle; le prix client n’est pas calculé automatiquement.</t>
      </text>
    </comment>
    <comment ref="F37" authorId="0" shapeId="0">
      <text>
        <t>Saisie manuelle; le prix client n’est pas calculé automatiquement.</t>
      </text>
    </comment>
    <comment ref="F38" authorId="0" shapeId="0">
      <text>
        <t>Saisie manuelle; le prix client n’est pas calculé automatiquement.</t>
      </text>
    </comment>
    <comment ref="F39" authorId="0" shapeId="0">
      <text>
        <t>Saisie manuelle; le prix client n’est pas calculé automatiquement.</t>
      </text>
    </comment>
    <comment ref="F40" authorId="0" shapeId="0">
      <text>
        <t>Saisie manuelle; le prix client n’est pas calculé automatiquement.</t>
      </text>
    </comment>
    <comment ref="F41" authorId="0" shapeId="0">
      <text>
        <t>Saisie manuelle; le prix client n’est pas calculé automatiquement.</t>
      </text>
    </comment>
    <comment ref="F42" authorId="0" shapeId="0">
      <text>
        <t>Saisie manuelle; le prix client n’est pas calculé automatiquement.</t>
      </text>
    </comment>
    <comment ref="F43" authorId="0" shapeId="0">
      <text>
        <t>Saisie manuelle; le prix client n’est pas calculé automatiquement.</t>
      </text>
    </comment>
    <comment ref="F44" authorId="0" shapeId="0">
      <text>
        <t>Saisie manuelle; le prix client n’est pas calculé automatiquement.</t>
      </text>
    </comment>
    <comment ref="F45" authorId="0" shapeId="0">
      <text>
        <t>Saisie manuelle; le prix client n’est pas calculé automatiquement.</t>
      </text>
    </comment>
    <comment ref="F46" authorId="0" shapeId="0">
      <text>
        <t>Saisie manuelle; le prix client n’est pas calculé automatiquement.</t>
      </text>
    </comment>
    <comment ref="F47" authorId="0" shapeId="0">
      <text>
        <t>Saisie manuelle; le prix client n’est pas calculé automatiquement.</t>
      </text>
    </comment>
    <comment ref="F48" authorId="0" shapeId="0">
      <text>
        <t>Saisie manuelle; le prix client n’est pas calculé automatiquement.</t>
      </text>
    </comment>
    <comment ref="F49" authorId="0" shapeId="0">
      <text>
        <t>Saisie manuelle; le prix client n’est pas calculé automatiquement.</t>
      </text>
    </comment>
    <comment ref="F50" authorId="0" shapeId="0">
      <text>
        <t>Saisie manuelle; le prix client n’est pas calculé automatiquement.</t>
      </text>
    </comment>
    <comment ref="F51" authorId="0" shapeId="0">
      <text>
        <t>Saisie manuelle; le prix client n’est pas calculé automatiquement.</t>
      </text>
    </comment>
    <comment ref="F52" authorId="0" shapeId="0">
      <text>
        <t>Saisie manuelle; le prix client n’est pas calculé automatiquement.</t>
      </text>
    </comment>
    <comment ref="F53" authorId="0" shapeId="0">
      <text>
        <t>Saisie manuelle; le prix client n’est pas calculé automatiquement.</t>
      </text>
    </comment>
    <comment ref="F54" authorId="0" shapeId="0">
      <text>
        <t>Saisie manuelle; le prix client n’est pas calculé automatiquement.</t>
      </text>
    </comment>
    <comment ref="F55" authorId="0" shapeId="0">
      <text>
        <t>Saisie manuelle; le prix client n’est pas calculé automatiquement.</t>
      </text>
    </comment>
    <comment ref="F56" authorId="0" shapeId="0">
      <text>
        <t>Saisie manuelle; le prix client n’est pas calculé automatiquement.</t>
      </text>
    </comment>
    <comment ref="F57" authorId="0" shapeId="0">
      <text>
        <t>Saisie manuelle; le prix client n’est pas calculé automatiquement.</t>
      </text>
    </comment>
    <comment ref="F58" authorId="0" shapeId="0">
      <text>
        <t>Saisie manuelle; le prix client n’est pas calculé automatiquement.</t>
      </text>
    </comment>
    <comment ref="F59" authorId="0" shapeId="0">
      <text>
        <t>Saisie manuelle; le prix client n’est pas calculé automatiquement.</t>
      </text>
    </comment>
    <comment ref="F60" authorId="0" shapeId="0">
      <text>
        <t>Saisie manuelle; le prix client n’est pas calculé automatiquement.</t>
      </text>
    </comment>
    <comment ref="F61" authorId="0" shapeId="0">
      <text>
        <t>Saisie manuelle; le prix client n’est pas calculé automatiquement.</t>
      </text>
    </comment>
    <comment ref="F62" authorId="0" shapeId="0">
      <text>
        <t>Saisie manuelle; le prix client n’est pas calculé automatiquement.</t>
      </text>
    </comment>
    <comment ref="F63" authorId="0" shapeId="0">
      <text>
        <t>Saisie manuelle; le prix client n’est pas calculé automatiquement.</t>
      </text>
    </comment>
    <comment ref="F64" authorId="0" shapeId="0">
      <text>
        <t>Saisie manuelle; le prix client n’est pas calculé automatiquement.</t>
      </text>
    </comment>
    <comment ref="F65" authorId="0" shapeId="0">
      <text>
        <t>Saisie manuelle; le prix client n’est pas calculé automatiquement.</t>
      </text>
    </comment>
    <comment ref="F66" authorId="0" shapeId="0">
      <text>
        <t>Saisie manuelle; le prix client n’est pas calculé automatiquement.</t>
      </text>
    </comment>
    <comment ref="F67" authorId="0" shapeId="0">
      <text>
        <t>Saisie manuelle; le prix client n’est pas calculé automatiquement.</t>
      </text>
    </comment>
    <comment ref="F68" authorId="0" shapeId="0">
      <text>
        <t>Saisie manuelle; le prix client n’est pas calculé automatiquement.</t>
      </text>
    </comment>
    <comment ref="F69" authorId="0" shapeId="0">
      <text>
        <t>Saisie manuelle; le prix client n’est pas calculé automatiquement.</t>
      </text>
    </comment>
    <comment ref="F70" authorId="0" shapeId="0">
      <text>
        <t>Saisie manuelle; le prix client n’est pas calculé automatiquement.</t>
      </text>
    </comment>
    <comment ref="F71" authorId="0" shapeId="0">
      <text>
        <t>Saisie manuelle; le prix client n’est pas calculé automatiquement.</t>
      </text>
    </comment>
    <comment ref="F72" authorId="0" shapeId="0">
      <text>
        <t>Saisie manuelle; le prix client n’est pas calculé automatiquement.</t>
      </text>
    </comment>
    <comment ref="F73" authorId="0" shapeId="0">
      <text>
        <t>Saisie manuelle; le prix client n’est pas calculé automatiquement.</t>
      </text>
    </comment>
    <comment ref="F74" authorId="0" shapeId="0">
      <text>
        <t>Saisie manuelle; le prix client n’est pas calculé automatiquement.</t>
      </text>
    </comment>
    <comment ref="F75" authorId="0" shapeId="0">
      <text>
        <t>Saisie manuelle; le prix client n’est pas calculé automatiquement.</t>
      </text>
    </comment>
    <comment ref="F76" authorId="0" shapeId="0">
      <text>
        <t>Saisie manuelle; le prix client n’est pas calculé automatiquement.</t>
      </text>
    </comment>
    <comment ref="F77" authorId="0" shapeId="0">
      <text>
        <t>Saisie manuelle; le prix client n’est pas calculé automatiquement.</t>
      </text>
    </comment>
    <comment ref="F78" authorId="0" shapeId="0">
      <text>
        <t>Saisie manuelle; le prix client n’est pas calculé automatiquement.</t>
      </text>
    </comment>
    <comment ref="F79" authorId="0" shapeId="0">
      <text>
        <t>Saisie manuelle; le prix client n’est pas calculé automatiquement.</t>
      </text>
    </comment>
    <comment ref="F80" authorId="0" shapeId="0">
      <text>
        <t>Saisie manuelle; le prix client n’est pas calculé automatiquement.</t>
      </text>
    </comment>
    <comment ref="F81" authorId="0" shapeId="0">
      <text>
        <t>Saisie manuelle; le prix client n’est pas calculé automatiquement.</t>
      </text>
    </comment>
    <comment ref="F82" authorId="0" shapeId="0">
      <text>
        <t>Saisie manuelle; le prix client n’est pas calculé automatiquement.</t>
      </text>
    </comment>
    <comment ref="F83" authorId="0" shapeId="0">
      <text>
        <t>Saisie manuelle; le prix client n’est pas calculé automatiquement.</t>
      </text>
    </comment>
    <comment ref="F84" authorId="0" shapeId="0">
      <text>
        <t>Saisie manuelle; le prix client n’est pas calculé automatiquement.</t>
      </text>
    </comment>
    <comment ref="F85" authorId="0" shapeId="0">
      <text>
        <t>Saisie manuelle; le prix client n’est pas calculé automatiquement.</t>
      </text>
    </comment>
    <comment ref="F86" authorId="0" shapeId="0">
      <text>
        <t>Saisie manuelle; le prix client n’est pas calculé automatiquement.</t>
      </text>
    </comment>
    <comment ref="F87" authorId="0" shapeId="0">
      <text>
        <t>Saisie manuelle; le prix client n’est pas calculé automatiquement.</t>
      </text>
    </comment>
    <comment ref="F88" authorId="0" shapeId="0">
      <text>
        <t>Saisie manuelle; le prix client n’est pas calculé automatiquement.</t>
      </text>
    </comment>
    <comment ref="F89" authorId="0" shapeId="0">
      <text>
        <t>Saisie manuelle; le prix client n’est pas calculé automatiquement.</t>
      </text>
    </comment>
    <comment ref="F90" authorId="0" shapeId="0">
      <text>
        <t>Saisie manuelle; le prix client n’est pas calculé automatiquement.</t>
      </text>
    </comment>
    <comment ref="F91" authorId="0" shapeId="0">
      <text>
        <t>Saisie manuelle; le prix client n’est pas calculé automatiquement.</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s>
</file>

<file path=xl/drawings/drawing1.xml><?xml version="1.0" encoding="utf-8"?>
<wsDr xmlns="http://schemas.openxmlformats.org/drawingml/2006/spreadsheetDrawing">
  <oneCellAnchor>
    <from>
      <col>1</col>
      <colOff>0</colOff>
      <row>4</row>
      <rowOff>0</rowOff>
    </from>
    <ext cx="1104900" cy="695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row>
      <rowOff>0</rowOff>
    </from>
    <ext cx="1104900" cy="6953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6</row>
      <rowOff>0</rowOff>
    </from>
    <ext cx="1104900" cy="6953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7</row>
      <rowOff>0</rowOff>
    </from>
    <ext cx="1104900" cy="6953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row>
      <rowOff>0</rowOff>
    </from>
    <ext cx="1104900" cy="695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9</row>
      <rowOff>0</rowOff>
    </from>
    <ext cx="1104900" cy="6953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10</row>
      <rowOff>0</rowOff>
    </from>
    <ext cx="1104900" cy="6953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11</row>
      <rowOff>0</rowOff>
    </from>
    <ext cx="1104900" cy="6953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12</row>
      <rowOff>0</rowOff>
    </from>
    <ext cx="1104900" cy="695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13</row>
      <rowOff>0</rowOff>
    </from>
    <ext cx="1104900" cy="695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14</row>
      <rowOff>0</rowOff>
    </from>
    <ext cx="1104900" cy="6953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15</row>
      <rowOff>0</rowOff>
    </from>
    <ext cx="1104900" cy="6953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16</row>
      <rowOff>0</rowOff>
    </from>
    <ext cx="1104900" cy="6953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17</row>
      <rowOff>0</rowOff>
    </from>
    <ext cx="1104900" cy="6953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18</row>
      <rowOff>0</rowOff>
    </from>
    <ext cx="1104900" cy="6953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19</row>
      <rowOff>0</rowOff>
    </from>
    <ext cx="1104900" cy="6953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20</row>
      <rowOff>0</rowOff>
    </from>
    <ext cx="1104900" cy="6953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21</row>
      <rowOff>0</rowOff>
    </from>
    <ext cx="1104900" cy="6953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22</row>
      <rowOff>0</rowOff>
    </from>
    <ext cx="1104900" cy="695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23</row>
      <rowOff>0</rowOff>
    </from>
    <ext cx="1104900" cy="6953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24</row>
      <rowOff>0</rowOff>
    </from>
    <ext cx="1104900" cy="6953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25</row>
      <rowOff>0</rowOff>
    </from>
    <ext cx="1104900" cy="6953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26</row>
      <rowOff>0</rowOff>
    </from>
    <ext cx="1104900" cy="6953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27</row>
      <rowOff>0</rowOff>
    </from>
    <ext cx="1104900" cy="6953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28</row>
      <rowOff>0</rowOff>
    </from>
    <ext cx="1104900" cy="6953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29</row>
      <rowOff>0</rowOff>
    </from>
    <ext cx="1104900" cy="6953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30</row>
      <rowOff>0</rowOff>
    </from>
    <ext cx="1104900" cy="6953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31</row>
      <rowOff>0</rowOff>
    </from>
    <ext cx="1104900" cy="6953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32</row>
      <rowOff>0</rowOff>
    </from>
    <ext cx="1104900" cy="6953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33</row>
      <rowOff>0</rowOff>
    </from>
    <ext cx="1104900" cy="6953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34</row>
      <rowOff>0</rowOff>
    </from>
    <ext cx="1104900" cy="6953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35</row>
      <rowOff>0</rowOff>
    </from>
    <ext cx="1104900" cy="6953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36</row>
      <rowOff>0</rowOff>
    </from>
    <ext cx="1104900" cy="6953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37</row>
      <rowOff>0</rowOff>
    </from>
    <ext cx="1104900" cy="6953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38</row>
      <rowOff>0</rowOff>
    </from>
    <ext cx="1104900" cy="6953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39</row>
      <rowOff>0</rowOff>
    </from>
    <ext cx="1104900" cy="6953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40</row>
      <rowOff>0</rowOff>
    </from>
    <ext cx="1104900" cy="6953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41</row>
      <rowOff>0</rowOff>
    </from>
    <ext cx="1104900" cy="6953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42</row>
      <rowOff>0</rowOff>
    </from>
    <ext cx="1104900" cy="6953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43</row>
      <rowOff>0</rowOff>
    </from>
    <ext cx="1104900" cy="6953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44</row>
      <rowOff>0</rowOff>
    </from>
    <ext cx="1104900" cy="6953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45</row>
      <rowOff>0</rowOff>
    </from>
    <ext cx="1104900" cy="6953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46</row>
      <rowOff>0</rowOff>
    </from>
    <ext cx="1104900" cy="6953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47</row>
      <rowOff>0</rowOff>
    </from>
    <ext cx="1104900" cy="6953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48</row>
      <rowOff>0</rowOff>
    </from>
    <ext cx="1104900" cy="6953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49</row>
      <rowOff>0</rowOff>
    </from>
    <ext cx="1104900" cy="6953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50</row>
      <rowOff>0</rowOff>
    </from>
    <ext cx="1104900" cy="6953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51</row>
      <rowOff>0</rowOff>
    </from>
    <ext cx="1104900" cy="6953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52</row>
      <rowOff>0</rowOff>
    </from>
    <ext cx="1104900" cy="6953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53</row>
      <rowOff>0</rowOff>
    </from>
    <ext cx="1104900" cy="6953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54</row>
      <rowOff>0</rowOff>
    </from>
    <ext cx="1104900" cy="6953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55</row>
      <rowOff>0</rowOff>
    </from>
    <ext cx="1104900" cy="6953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56</row>
      <rowOff>0</rowOff>
    </from>
    <ext cx="1104900" cy="6953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57</row>
      <rowOff>0</rowOff>
    </from>
    <ext cx="1104900" cy="6953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58</row>
      <rowOff>0</rowOff>
    </from>
    <ext cx="1104900" cy="6953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59</row>
      <rowOff>0</rowOff>
    </from>
    <ext cx="1104900" cy="6953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60</row>
      <rowOff>0</rowOff>
    </from>
    <ext cx="1104900" cy="6953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61</row>
      <rowOff>0</rowOff>
    </from>
    <ext cx="1104900" cy="6953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62</row>
      <rowOff>0</rowOff>
    </from>
    <ext cx="1104900" cy="6953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63</row>
      <rowOff>0</rowOff>
    </from>
    <ext cx="1104900" cy="6953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64</row>
      <rowOff>0</rowOff>
    </from>
    <ext cx="1104900" cy="6953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65</row>
      <rowOff>0</rowOff>
    </from>
    <ext cx="1104900" cy="6953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66</row>
      <rowOff>0</rowOff>
    </from>
    <ext cx="1104900" cy="6953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67</row>
      <rowOff>0</rowOff>
    </from>
    <ext cx="1104900" cy="6953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68</row>
      <rowOff>0</rowOff>
    </from>
    <ext cx="1104900" cy="6953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69</row>
      <rowOff>0</rowOff>
    </from>
    <ext cx="1104900" cy="6953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70</row>
      <rowOff>0</rowOff>
    </from>
    <ext cx="1104900" cy="6953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71</row>
      <rowOff>0</rowOff>
    </from>
    <ext cx="1104900" cy="6953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73</row>
      <rowOff>0</rowOff>
    </from>
    <ext cx="1104900" cy="6953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74</row>
      <rowOff>0</rowOff>
    </from>
    <ext cx="1104900" cy="6953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75</row>
      <rowOff>0</rowOff>
    </from>
    <ext cx="1104900" cy="6953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76</row>
      <rowOff>0</rowOff>
    </from>
    <ext cx="1104900" cy="6953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77</row>
      <rowOff>0</rowOff>
    </from>
    <ext cx="1104900" cy="6953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79</row>
      <rowOff>0</rowOff>
    </from>
    <ext cx="1104900" cy="6953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80</row>
      <rowOff>0</rowOff>
    </from>
    <ext cx="1104900" cy="6953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81</row>
      <rowOff>0</rowOff>
    </from>
    <ext cx="1104900" cy="6953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col>
      <colOff>0</colOff>
      <row>82</row>
      <rowOff>0</rowOff>
    </from>
    <ext cx="1104900" cy="6953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83</row>
      <rowOff>0</rowOff>
    </from>
    <ext cx="1104900" cy="6953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col>
      <colOff>0</colOff>
      <row>84</row>
      <rowOff>0</rowOff>
    </from>
    <ext cx="1104900" cy="6953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85</row>
      <rowOff>0</rowOff>
    </from>
    <ext cx="1104900" cy="6953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col>
      <colOff>0</colOff>
      <row>86</row>
      <rowOff>0</rowOff>
    </from>
    <ext cx="1104900" cy="6953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87</row>
      <rowOff>0</rowOff>
    </from>
    <ext cx="1104900" cy="6953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col>
      <colOff>0</colOff>
      <row>88</row>
      <rowOff>0</rowOff>
    </from>
    <ext cx="1104900" cy="6953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90</row>
      <rowOff>0</rowOff>
    </from>
    <ext cx="1104900" cy="6953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BaseProduits" displayName="BaseProduits" ref="A4:T91" headerRowCount="1">
  <autoFilter ref="A4:T91"/>
  <tableColumns count="20">
    <tableColumn id="1" name="Fiche visuelle"/>
    <tableColumn id="2" name="Référence (source)"/>
    <tableColumn id="3" name="Marque"/>
    <tableColumn id="4" name="Famille"/>
    <tableColumn id="5" name="Couleur / variante"/>
    <tableColumn id="6" name="Désignation"/>
    <tableColumn id="7" name="Nature déclarée"/>
    <tableColumn id="8" name="Prix achat HT"/>
    <tableColumn id="9" name="Autre prix achat repéré"/>
    <tableColumn id="10" name="Prix vente client HT — à saisir"/>
    <tableColumn id="11" name="Repère tarif ESS HT"/>
    <tableColumn id="12" name="Source du repère ESS"/>
    <tableColumn id="13" name="Marge brute HT"/>
    <tableColumn id="14" name="Marge % sur vente"/>
    <tableColumn id="15" name="Stock initial"/>
    <tableColumn id="16" name="Entrées"/>
    <tableColumn id="17" name="Sorties"/>
    <tableColumn id="18" name="Stock théorique"/>
    <tableColumn id="19" name="Contrôle / note"/>
    <tableColumn id="20" name="Source achat"/>
  </tableColumns>
  <tableStyleInfo name="TableStyleMedium2" showFirstColumn="0" showLastColumn="0" showRowStripes="1" showColumnStripes="0"/>
</table>
</file>

<file path=xl/tables/table2.xml><?xml version="1.0" encoding="utf-8"?>
<table xmlns="http://schemas.openxmlformats.org/spreadsheetml/2006/main" id="2" name="JournalVentes" displayName="JournalVentes" ref="A4:L504" headerRowCount="1">
  <autoFilter ref="A4:L504"/>
  <tableColumns count="12">
    <tableColumn id="1" name="Date"/>
    <tableColumn id="2" name="N° facture"/>
    <tableColumn id="3" name="Client"/>
    <tableColumn id="4" name="Référence"/>
    <tableColumn id="5" name="Désignation"/>
    <tableColumn id="6" name="Qté"/>
    <tableColumn id="7" name="Prix vente unitaire HT"/>
    <tableColumn id="8" name="Remise %"/>
    <tableColumn id="9" name="Total ligne HT"/>
    <tableColumn id="10" name="Marge brute estimée HT"/>
    <tableColumn id="11" name="Mode de paiement"/>
    <tableColumn id="12" name="Note"/>
  </tableColumns>
  <tableStyleInfo name="TableStyleMedium4" showFirstColumn="0" showLastColumn="0" showRowStripes="1" showColumnStripes="0"/>
</table>
</file>

<file path=xl/tables/table3.xml><?xml version="1.0" encoding="utf-8"?>
<table xmlns="http://schemas.openxmlformats.org/spreadsheetml/2006/main" id="3" name="JournalReceptions" displayName="JournalReceptions" ref="A4:H504" headerRowCount="1">
  <autoFilter ref="A4:H504"/>
  <tableColumns count="8">
    <tableColumn id="1" name="Date"/>
    <tableColumn id="2" name="Fournisseur"/>
    <tableColumn id="3" name="Référence"/>
    <tableColumn id="4" name="Désignation"/>
    <tableColumn id="5" name="Qté reçue"/>
    <tableColumn id="6" name="Prix achat unitaire HT"/>
    <tableColumn id="7" name="Total achat HT"/>
    <tableColumn id="8" name="Facture / note"/>
  </tableColumns>
  <tableStyleInfo name="TableStyleMedium4" showFirstColumn="0" showLastColumn="0" showRowStripes="1" showColumnStripes="0"/>
</table>
</file>

<file path=xl/tables/table4.xml><?xml version="1.0" encoding="utf-8"?>
<table xmlns="http://schemas.openxmlformats.org/spreadsheetml/2006/main" id="4" name="TarifsCatalogue" displayName="TarifsCatalogue" ref="A4:G14" headerRowCount="1">
  <autoFilter ref="A4:G14"/>
  <tableColumns count="7">
    <tableColumn id="1" name="Réf. catalogue"/>
    <tableColumn id="2" name="Désignation"/>
    <tableColumn id="3" name="Type indiqué"/>
    <tableColumn id="4" name="Conditionnement"/>
    <tableColumn id="5" name="Prix catalogue HT"/>
    <tableColumn id="6" name="Utilisation"/>
    <tableColumn id="7"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atalogue visuel'!A5" TargetMode="External" Id="rId1"/><Relationship Type="http://schemas.openxmlformats.org/officeDocument/2006/relationships/hyperlink" Target="#'Catalogue visuel'!A6" TargetMode="External" Id="rId2"/><Relationship Type="http://schemas.openxmlformats.org/officeDocument/2006/relationships/hyperlink" Target="#'Catalogue visuel'!A7" TargetMode="External" Id="rId3"/><Relationship Type="http://schemas.openxmlformats.org/officeDocument/2006/relationships/hyperlink" Target="#'Catalogue visuel'!A8" TargetMode="External" Id="rId4"/><Relationship Type="http://schemas.openxmlformats.org/officeDocument/2006/relationships/hyperlink" Target="#'Catalogue visuel'!A9" TargetMode="External" Id="rId5"/><Relationship Type="http://schemas.openxmlformats.org/officeDocument/2006/relationships/hyperlink" Target="#'Catalogue visuel'!A10" TargetMode="External" Id="rId6"/><Relationship Type="http://schemas.openxmlformats.org/officeDocument/2006/relationships/hyperlink" Target="#'Catalogue visuel'!A11" TargetMode="External" Id="rId7"/><Relationship Type="http://schemas.openxmlformats.org/officeDocument/2006/relationships/hyperlink" Target="#'Catalogue visuel'!A12" TargetMode="External" Id="rId8"/><Relationship Type="http://schemas.openxmlformats.org/officeDocument/2006/relationships/hyperlink" Target="#'Catalogue visuel'!A13" TargetMode="External" Id="rId9"/><Relationship Type="http://schemas.openxmlformats.org/officeDocument/2006/relationships/hyperlink" Target="#'Catalogue visuel'!A14" TargetMode="External" Id="rId10"/><Relationship Type="http://schemas.openxmlformats.org/officeDocument/2006/relationships/hyperlink" Target="#'Catalogue visuel'!A15" TargetMode="External" Id="rId11"/><Relationship Type="http://schemas.openxmlformats.org/officeDocument/2006/relationships/hyperlink" Target="#'Catalogue visuel'!A16" TargetMode="External" Id="rId12"/><Relationship Type="http://schemas.openxmlformats.org/officeDocument/2006/relationships/hyperlink" Target="#'Catalogue visuel'!A17" TargetMode="External" Id="rId13"/><Relationship Type="http://schemas.openxmlformats.org/officeDocument/2006/relationships/hyperlink" Target="#'Catalogue visuel'!A18" TargetMode="External" Id="rId14"/><Relationship Type="http://schemas.openxmlformats.org/officeDocument/2006/relationships/hyperlink" Target="#'Catalogue visuel'!A19" TargetMode="External" Id="rId15"/><Relationship Type="http://schemas.openxmlformats.org/officeDocument/2006/relationships/hyperlink" Target="#'Catalogue visuel'!A20" TargetMode="External" Id="rId16"/><Relationship Type="http://schemas.openxmlformats.org/officeDocument/2006/relationships/hyperlink" Target="#'Catalogue visuel'!A21" TargetMode="External" Id="rId17"/><Relationship Type="http://schemas.openxmlformats.org/officeDocument/2006/relationships/hyperlink" Target="#'Catalogue visuel'!A22" TargetMode="External" Id="rId18"/><Relationship Type="http://schemas.openxmlformats.org/officeDocument/2006/relationships/hyperlink" Target="#'Catalogue visuel'!A23" TargetMode="External" Id="rId19"/><Relationship Type="http://schemas.openxmlformats.org/officeDocument/2006/relationships/hyperlink" Target="#'Catalogue visuel'!A24" TargetMode="External" Id="rId20"/><Relationship Type="http://schemas.openxmlformats.org/officeDocument/2006/relationships/hyperlink" Target="#'Catalogue visuel'!A25" TargetMode="External" Id="rId21"/><Relationship Type="http://schemas.openxmlformats.org/officeDocument/2006/relationships/hyperlink" Target="#'Catalogue visuel'!A26" TargetMode="External" Id="rId22"/><Relationship Type="http://schemas.openxmlformats.org/officeDocument/2006/relationships/hyperlink" Target="#'Catalogue visuel'!A27" TargetMode="External" Id="rId23"/><Relationship Type="http://schemas.openxmlformats.org/officeDocument/2006/relationships/hyperlink" Target="#'Catalogue visuel'!A28" TargetMode="External" Id="rId24"/><Relationship Type="http://schemas.openxmlformats.org/officeDocument/2006/relationships/hyperlink" Target="#'Catalogue visuel'!A29" TargetMode="External" Id="rId25"/><Relationship Type="http://schemas.openxmlformats.org/officeDocument/2006/relationships/hyperlink" Target="#'Catalogue visuel'!A30" TargetMode="External" Id="rId26"/><Relationship Type="http://schemas.openxmlformats.org/officeDocument/2006/relationships/hyperlink" Target="#'Catalogue visuel'!A31" TargetMode="External" Id="rId27"/><Relationship Type="http://schemas.openxmlformats.org/officeDocument/2006/relationships/hyperlink" Target="#'Catalogue visuel'!A32" TargetMode="External" Id="rId28"/><Relationship Type="http://schemas.openxmlformats.org/officeDocument/2006/relationships/hyperlink" Target="#'Catalogue visuel'!A33" TargetMode="External" Id="rId29"/><Relationship Type="http://schemas.openxmlformats.org/officeDocument/2006/relationships/hyperlink" Target="#'Catalogue visuel'!A34" TargetMode="External" Id="rId30"/><Relationship Type="http://schemas.openxmlformats.org/officeDocument/2006/relationships/hyperlink" Target="#'Catalogue visuel'!A35" TargetMode="External" Id="rId31"/><Relationship Type="http://schemas.openxmlformats.org/officeDocument/2006/relationships/hyperlink" Target="#'Catalogue visuel'!A36" TargetMode="External" Id="rId32"/><Relationship Type="http://schemas.openxmlformats.org/officeDocument/2006/relationships/hyperlink" Target="#'Catalogue visuel'!A37" TargetMode="External" Id="rId33"/><Relationship Type="http://schemas.openxmlformats.org/officeDocument/2006/relationships/hyperlink" Target="#'Catalogue visuel'!A38" TargetMode="External" Id="rId34"/><Relationship Type="http://schemas.openxmlformats.org/officeDocument/2006/relationships/hyperlink" Target="#'Catalogue visuel'!A39" TargetMode="External" Id="rId35"/><Relationship Type="http://schemas.openxmlformats.org/officeDocument/2006/relationships/hyperlink" Target="#'Catalogue visuel'!A40" TargetMode="External" Id="rId36"/><Relationship Type="http://schemas.openxmlformats.org/officeDocument/2006/relationships/hyperlink" Target="#'Catalogue visuel'!A41" TargetMode="External" Id="rId37"/><Relationship Type="http://schemas.openxmlformats.org/officeDocument/2006/relationships/hyperlink" Target="#'Catalogue visuel'!A42" TargetMode="External" Id="rId38"/><Relationship Type="http://schemas.openxmlformats.org/officeDocument/2006/relationships/hyperlink" Target="#'Catalogue visuel'!A43" TargetMode="External" Id="rId39"/><Relationship Type="http://schemas.openxmlformats.org/officeDocument/2006/relationships/hyperlink" Target="#'Catalogue visuel'!A44" TargetMode="External" Id="rId40"/><Relationship Type="http://schemas.openxmlformats.org/officeDocument/2006/relationships/hyperlink" Target="#'Catalogue visuel'!A45" TargetMode="External" Id="rId41"/><Relationship Type="http://schemas.openxmlformats.org/officeDocument/2006/relationships/hyperlink" Target="#'Catalogue visuel'!A46" TargetMode="External" Id="rId42"/><Relationship Type="http://schemas.openxmlformats.org/officeDocument/2006/relationships/hyperlink" Target="#'Catalogue visuel'!A47" TargetMode="External" Id="rId43"/><Relationship Type="http://schemas.openxmlformats.org/officeDocument/2006/relationships/hyperlink" Target="#'Catalogue visuel'!A48" TargetMode="External" Id="rId44"/><Relationship Type="http://schemas.openxmlformats.org/officeDocument/2006/relationships/hyperlink" Target="#'Catalogue visuel'!A49" TargetMode="External" Id="rId45"/><Relationship Type="http://schemas.openxmlformats.org/officeDocument/2006/relationships/hyperlink" Target="#'Catalogue visuel'!A50" TargetMode="External" Id="rId46"/><Relationship Type="http://schemas.openxmlformats.org/officeDocument/2006/relationships/hyperlink" Target="#'Catalogue visuel'!A51" TargetMode="External" Id="rId47"/><Relationship Type="http://schemas.openxmlformats.org/officeDocument/2006/relationships/hyperlink" Target="#'Catalogue visuel'!A52" TargetMode="External" Id="rId48"/><Relationship Type="http://schemas.openxmlformats.org/officeDocument/2006/relationships/hyperlink" Target="#'Catalogue visuel'!A53" TargetMode="External" Id="rId49"/><Relationship Type="http://schemas.openxmlformats.org/officeDocument/2006/relationships/hyperlink" Target="#'Catalogue visuel'!A54" TargetMode="External" Id="rId50"/><Relationship Type="http://schemas.openxmlformats.org/officeDocument/2006/relationships/hyperlink" Target="#'Catalogue visuel'!A55" TargetMode="External" Id="rId51"/><Relationship Type="http://schemas.openxmlformats.org/officeDocument/2006/relationships/hyperlink" Target="#'Catalogue visuel'!A56" TargetMode="External" Id="rId52"/><Relationship Type="http://schemas.openxmlformats.org/officeDocument/2006/relationships/hyperlink" Target="#'Catalogue visuel'!A57" TargetMode="External" Id="rId53"/><Relationship Type="http://schemas.openxmlformats.org/officeDocument/2006/relationships/hyperlink" Target="#'Catalogue visuel'!A58" TargetMode="External" Id="rId54"/><Relationship Type="http://schemas.openxmlformats.org/officeDocument/2006/relationships/hyperlink" Target="#'Catalogue visuel'!A59" TargetMode="External" Id="rId55"/><Relationship Type="http://schemas.openxmlformats.org/officeDocument/2006/relationships/hyperlink" Target="#'Catalogue visuel'!A60" TargetMode="External" Id="rId56"/><Relationship Type="http://schemas.openxmlformats.org/officeDocument/2006/relationships/hyperlink" Target="#'Catalogue visuel'!A61" TargetMode="External" Id="rId57"/><Relationship Type="http://schemas.openxmlformats.org/officeDocument/2006/relationships/hyperlink" Target="#'Catalogue visuel'!A62" TargetMode="External" Id="rId58"/><Relationship Type="http://schemas.openxmlformats.org/officeDocument/2006/relationships/hyperlink" Target="#'Catalogue visuel'!A63" TargetMode="External" Id="rId59"/><Relationship Type="http://schemas.openxmlformats.org/officeDocument/2006/relationships/hyperlink" Target="#'Catalogue visuel'!A64" TargetMode="External" Id="rId60"/><Relationship Type="http://schemas.openxmlformats.org/officeDocument/2006/relationships/hyperlink" Target="#'Catalogue visuel'!A65" TargetMode="External" Id="rId61"/><Relationship Type="http://schemas.openxmlformats.org/officeDocument/2006/relationships/hyperlink" Target="#'Catalogue visuel'!A66" TargetMode="External" Id="rId62"/><Relationship Type="http://schemas.openxmlformats.org/officeDocument/2006/relationships/hyperlink" Target="#'Catalogue visuel'!A67" TargetMode="External" Id="rId63"/><Relationship Type="http://schemas.openxmlformats.org/officeDocument/2006/relationships/hyperlink" Target="#'Catalogue visuel'!A68" TargetMode="External" Id="rId64"/><Relationship Type="http://schemas.openxmlformats.org/officeDocument/2006/relationships/hyperlink" Target="#'Catalogue visuel'!A69" TargetMode="External" Id="rId65"/><Relationship Type="http://schemas.openxmlformats.org/officeDocument/2006/relationships/hyperlink" Target="#'Catalogue visuel'!A70" TargetMode="External" Id="rId66"/><Relationship Type="http://schemas.openxmlformats.org/officeDocument/2006/relationships/hyperlink" Target="#'Catalogue visuel'!A71" TargetMode="External" Id="rId67"/><Relationship Type="http://schemas.openxmlformats.org/officeDocument/2006/relationships/hyperlink" Target="#'Catalogue visuel'!A72" TargetMode="External" Id="rId68"/><Relationship Type="http://schemas.openxmlformats.org/officeDocument/2006/relationships/hyperlink" Target="#'Catalogue visuel'!A73" TargetMode="External" Id="rId69"/><Relationship Type="http://schemas.openxmlformats.org/officeDocument/2006/relationships/hyperlink" Target="#'Catalogue visuel'!A74" TargetMode="External" Id="rId70"/><Relationship Type="http://schemas.openxmlformats.org/officeDocument/2006/relationships/hyperlink" Target="#'Catalogue visuel'!A75" TargetMode="External" Id="rId71"/><Relationship Type="http://schemas.openxmlformats.org/officeDocument/2006/relationships/hyperlink" Target="#'Catalogue visuel'!A76" TargetMode="External" Id="rId72"/><Relationship Type="http://schemas.openxmlformats.org/officeDocument/2006/relationships/hyperlink" Target="#'Catalogue visuel'!A77" TargetMode="External" Id="rId73"/><Relationship Type="http://schemas.openxmlformats.org/officeDocument/2006/relationships/hyperlink" Target="#'Catalogue visuel'!A78" TargetMode="External" Id="rId74"/><Relationship Type="http://schemas.openxmlformats.org/officeDocument/2006/relationships/hyperlink" Target="#'Catalogue visuel'!A79" TargetMode="External" Id="rId75"/><Relationship Type="http://schemas.openxmlformats.org/officeDocument/2006/relationships/hyperlink" Target="#'Catalogue visuel'!A80" TargetMode="External" Id="rId76"/><Relationship Type="http://schemas.openxmlformats.org/officeDocument/2006/relationships/hyperlink" Target="#'Catalogue visuel'!A81" TargetMode="External" Id="rId77"/><Relationship Type="http://schemas.openxmlformats.org/officeDocument/2006/relationships/hyperlink" Target="#'Catalogue visuel'!A82" TargetMode="External" Id="rId78"/><Relationship Type="http://schemas.openxmlformats.org/officeDocument/2006/relationships/hyperlink" Target="#'Catalogue visuel'!A83" TargetMode="External" Id="rId79"/><Relationship Type="http://schemas.openxmlformats.org/officeDocument/2006/relationships/hyperlink" Target="#'Catalogue visuel'!A84" TargetMode="External" Id="rId80"/><Relationship Type="http://schemas.openxmlformats.org/officeDocument/2006/relationships/hyperlink" Target="#'Catalogue visuel'!A85" TargetMode="External" Id="rId81"/><Relationship Type="http://schemas.openxmlformats.org/officeDocument/2006/relationships/hyperlink" Target="#'Catalogue visuel'!A86" TargetMode="External" Id="rId82"/><Relationship Type="http://schemas.openxmlformats.org/officeDocument/2006/relationships/hyperlink" Target="#'Catalogue visuel'!A87" TargetMode="External" Id="rId83"/><Relationship Type="http://schemas.openxmlformats.org/officeDocument/2006/relationships/hyperlink" Target="#'Catalogue visuel'!A88" TargetMode="External" Id="rId84"/><Relationship Type="http://schemas.openxmlformats.org/officeDocument/2006/relationships/hyperlink" Target="#'Catalogue visuel'!A89" TargetMode="External" Id="rId85"/><Relationship Type="http://schemas.openxmlformats.org/officeDocument/2006/relationships/hyperlink" Target="#'Catalogue visuel'!A90" TargetMode="External" Id="rId86"/><Relationship Type="http://schemas.openxmlformats.org/officeDocument/2006/relationships/hyperlink" Target="#'Catalogue visuel'!A91" TargetMode="External" Id="rId87"/><Relationship Type="http://schemas.openxmlformats.org/officeDocument/2006/relationships/table" Target="/xl/tables/table1.xml" Id="rId8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hp.com/my-en/shop/hp-85a-black-original-laserjet-toner-cartridge-ce285a.html" TargetMode="External" Id="rId1"/><Relationship Type="http://schemas.openxmlformats.org/officeDocument/2006/relationships/hyperlink" Target="https://www.ebay.com/itm/336339590869" TargetMode="External" Id="rId2"/><Relationship Type="http://schemas.openxmlformats.org/officeDocument/2006/relationships/hyperlink" Target="https://ebay.com/p/1431442498" TargetMode="External" Id="rId3"/><Relationship Type="http://schemas.openxmlformats.org/officeDocument/2006/relationships/hyperlink" Target="https://www.ebay.com/p/1682538357" TargetMode="External" Id="rId4"/><Relationship Type="http://schemas.openxmlformats.org/officeDocument/2006/relationships/hyperlink" Target="https://ebay.com/p/1551242964" TargetMode="External" Id="rId5"/><Relationship Type="http://schemas.openxmlformats.org/officeDocument/2006/relationships/hyperlink" Target="https://inkgenie.com/products/genuine-hp-79a-cf279a-black-laserjet-toner-cartridge" TargetMode="External" Id="rId6"/><Relationship Type="http://schemas.openxmlformats.org/officeDocument/2006/relationships/hyperlink" Target="https://technomartllc.com/hp-05a-ce505a-black-original-laserjet-toner-cartridge/" TargetMode="External" Id="rId7"/><Relationship Type="http://schemas.openxmlformats.org/officeDocument/2006/relationships/hyperlink" Target="https://ebay.com/p/1340049931" TargetMode="External" Id="rId8"/><Relationship Type="http://schemas.openxmlformats.org/officeDocument/2006/relationships/hyperlink" Target="https://btech.com/en/p/hp-106a-laser-cartridge-black-w1106a" TargetMode="External" Id="rId9"/><Relationship Type="http://schemas.openxmlformats.org/officeDocument/2006/relationships/hyperlink" Target="https://coloursoft.co.ke/shop/toner/hp-toner/hp-107a-toner-by-coloursoft-3-year-warranty/" TargetMode="External" Id="rId10"/><Relationship Type="http://schemas.openxmlformats.org/officeDocument/2006/relationships/hyperlink" Target="https://ebay.co.uk/p/4065856340" TargetMode="External" Id="rId11"/><Relationship Type="http://schemas.openxmlformats.org/officeDocument/2006/relationships/hyperlink" Target="https://www.ebay.com/itm/366549025003" TargetMode="External" Id="rId12"/><Relationship Type="http://schemas.openxmlformats.org/officeDocument/2006/relationships/hyperlink" Target="https://aridvalok.com/product/hp-44a-black-original-laserjet-toner-cartridge-cf244a/" TargetMode="External" Id="rId13"/><Relationship Type="http://schemas.openxmlformats.org/officeDocument/2006/relationships/hyperlink" Target="https://www.ebay.com/itm/286253569168" TargetMode="External" Id="rId14"/><Relationship Type="http://schemas.openxmlformats.org/officeDocument/2006/relationships/hyperlink" Target="https://inkgenie.com/products/genuine-hp-201a-cyan-cf401a-laserjet-toner-cartridge" TargetMode="External" Id="rId15"/><Relationship Type="http://schemas.openxmlformats.org/officeDocument/2006/relationships/hyperlink" Target="https://www.ebay.com/itm/167293535015" TargetMode="External" Id="rId16"/><Relationship Type="http://schemas.openxmlformats.org/officeDocument/2006/relationships/hyperlink" Target="https://www.ebay.com/p/25037500769" TargetMode="External" Id="rId17"/><Relationship Type="http://schemas.openxmlformats.org/officeDocument/2006/relationships/hyperlink" Target="https://www.ebay.com/itm/224347747218" TargetMode="External" Id="rId18"/><Relationship Type="http://schemas.openxmlformats.org/officeDocument/2006/relationships/hyperlink" Target="https://ebay.com/p/17021690987" TargetMode="External" Id="rId19"/><Relationship Type="http://schemas.openxmlformats.org/officeDocument/2006/relationships/hyperlink" Target="https://coloursoft.co.ke/shop/toner/hp-toner/original-genuine-hp-150a-toner-cartridge-w1500a/" TargetMode="External" Id="rId20"/><Relationship Type="http://schemas.openxmlformats.org/officeDocument/2006/relationships/hyperlink" Target="https://coloursoft.co.ke/shop/toner/hp-toner/genuine-original-hp-151a-toner-cartridge-w1510a/" TargetMode="External" Id="rId21"/><Relationship Type="http://schemas.openxmlformats.org/officeDocument/2006/relationships/hyperlink" Target="https://ebay.com/p/21042490784" TargetMode="External" Id="rId22"/><Relationship Type="http://schemas.openxmlformats.org/officeDocument/2006/relationships/hyperlink" Target="https://cartridgemasters.net/shop/hp-205a-black-toner-cartridge-1100-pages-original-cf530a-single-pack/" TargetMode="External" Id="rId23"/><Relationship Type="http://schemas.openxmlformats.org/officeDocument/2006/relationships/hyperlink" Target="https://www.ebay.co.uk/p/14008877033" TargetMode="External" Id="rId24"/><Relationship Type="http://schemas.openxmlformats.org/officeDocument/2006/relationships/hyperlink" Target="https://ebay.co.uk/p/2305807448" TargetMode="External" Id="rId25"/><Relationship Type="http://schemas.openxmlformats.org/officeDocument/2006/relationships/hyperlink" Target="https://ebay.co.uk/p/2267689989" TargetMode="External" Id="rId26"/><Relationship Type="http://schemas.openxmlformats.org/officeDocument/2006/relationships/hyperlink" Target="https://www.ebay.com/p/14039156104" TargetMode="External" Id="rId27"/><Relationship Type="http://schemas.openxmlformats.org/officeDocument/2006/relationships/hyperlink" Target="https://ebay.com/p/10039160665" TargetMode="External" Id="rId28"/><Relationship Type="http://schemas.openxmlformats.org/officeDocument/2006/relationships/hyperlink" Target="https://www.ebay.com/itm/387355003946" TargetMode="External" Id="rId29"/><Relationship Type="http://schemas.openxmlformats.org/officeDocument/2006/relationships/hyperlink" Target="https://www.makingitgreen.co.uk/hp-cyan-toner-cartridge-207a-w2211a/" TargetMode="External" Id="rId30"/><Relationship Type="http://schemas.openxmlformats.org/officeDocument/2006/relationships/hyperlink" Target="https://www.ebay.com/itm/275779125262" TargetMode="External" Id="rId31"/><Relationship Type="http://schemas.openxmlformats.org/officeDocument/2006/relationships/hyperlink" Target="https://www.dabbousmega.com/products/hp-216a-original-toner" TargetMode="External" Id="rId32"/><Relationship Type="http://schemas.openxmlformats.org/officeDocument/2006/relationships/hyperlink" Target="https://ltonlinestore.com/HP-230A-Black-LaserJet-Toner-Cartridge-W2300A-p600111506" TargetMode="External" Id="rId33"/><Relationship Type="http://schemas.openxmlformats.org/officeDocument/2006/relationships/hyperlink" Target="https://lionperu.com/producto/hp-230a-cyan-toner-w2301a-original-laserjet-toner-cartridge-precio-cartucho" TargetMode="External" Id="rId34"/><Relationship Type="http://schemas.openxmlformats.org/officeDocument/2006/relationships/hyperlink" Target="https://www.indiamart.com/proddetail/hp-222a-black-original-laserjet-toner-cartridge-2856279417748.html" TargetMode="External" Id="rId35"/><Relationship Type="http://schemas.openxmlformats.org/officeDocument/2006/relationships/hyperlink" Target="https://www.indiamart.com/proddetail/hp-222a-cyan-original-laserjet-toner-cartridge-w2221a-2856279462530.html" TargetMode="External" Id="rId36"/><Relationship Type="http://schemas.openxmlformats.org/officeDocument/2006/relationships/hyperlink" Target="https://www.ebay.com/p/3011036922" TargetMode="External" Id="rId37"/><Relationship Type="http://schemas.openxmlformats.org/officeDocument/2006/relationships/hyperlink" Target="https://ebay.com/p/1224598654" TargetMode="External" Id="rId38"/><Relationship Type="http://schemas.openxmlformats.org/officeDocument/2006/relationships/hyperlink" Target="https://www.officedepot.com/a/products/829348/HP-131A-Black-Toner-Cartridge-CF210A/" TargetMode="External" Id="rId39"/><Relationship Type="http://schemas.openxmlformats.org/officeDocument/2006/relationships/hyperlink" Target="https://ebay.com/p/140922286" TargetMode="External" Id="rId40"/><Relationship Type="http://schemas.openxmlformats.org/officeDocument/2006/relationships/hyperlink" Target="https://ebay.com/itm/177133615764" TargetMode="External" Id="rId41"/><Relationship Type="http://schemas.openxmlformats.org/officeDocument/2006/relationships/hyperlink" Target="https://www.hp.com/us-en/shop/standard-capacity-toner-cartridges/hp-126a-cyan-original-laserjet-toner-cartridge" TargetMode="External" Id="rId42"/><Relationship Type="http://schemas.openxmlformats.org/officeDocument/2006/relationships/hyperlink" Target="https://www.officedepot.com/a/products/345134/HP-130A-Black-Toner-Cartridge-CF350A/" TargetMode="External" Id="rId43"/><Relationship Type="http://schemas.openxmlformats.org/officeDocument/2006/relationships/hyperlink" Target="https://ebay.com/p/710189550" TargetMode="External" Id="rId44"/><Relationship Type="http://schemas.openxmlformats.org/officeDocument/2006/relationships/hyperlink" Target="https://pccircle.com/product/hp-117a-black-original-laser-toner-cartridge-w2070a/" TargetMode="External" Id="rId45"/><Relationship Type="http://schemas.openxmlformats.org/officeDocument/2006/relationships/hyperlink" Target="https://www.ebay.co.uk/itm/358546304534" TargetMode="External" Id="rId46"/><Relationship Type="http://schemas.openxmlformats.org/officeDocument/2006/relationships/hyperlink" Target="https://www.ebay.com/p/14026724823" TargetMode="External" Id="rId47"/><Relationship Type="http://schemas.openxmlformats.org/officeDocument/2006/relationships/hyperlink" Target="https://toner-inkjet.com/HP-410A-Cyan-Toner-Cartridge-CF411A-Original" TargetMode="External" Id="rId48"/><Relationship Type="http://schemas.openxmlformats.org/officeDocument/2006/relationships/hyperlink" Target="https://ebay.co.uk/p/25032772454" TargetMode="External" Id="rId49"/><Relationship Type="http://schemas.openxmlformats.org/officeDocument/2006/relationships/hyperlink" Target="https://www.firstshop.co.za/products/hp-415a-cyan-toner-cartridge-2-100-pages-original-w2031a-single-pack-88898" TargetMode="External" Id="rId50"/><Relationship Type="http://schemas.openxmlformats.org/officeDocument/2006/relationships/hyperlink" Target="https://www.ebay.com/p/10033160524" TargetMode="External" Id="rId51"/><Relationship Type="http://schemas.openxmlformats.org/officeDocument/2006/relationships/hyperlink" Target="https://www.ebay.com/p/10012050093" TargetMode="External" Id="rId52"/><Relationship Type="http://schemas.openxmlformats.org/officeDocument/2006/relationships/hyperlink" Target="https://ebay.com/p/1880905404" TargetMode="External" Id="rId53"/><Relationship Type="http://schemas.openxmlformats.org/officeDocument/2006/relationships/hyperlink" Target="https://ebay.com/p/2254487957" TargetMode="External" Id="rId54"/><Relationship Type="http://schemas.openxmlformats.org/officeDocument/2006/relationships/hyperlink" Target="https://www.ebay.com/p/85597587" TargetMode="External" Id="rId55"/><Relationship Type="http://schemas.openxmlformats.org/officeDocument/2006/relationships/hyperlink" Target="https://ebay.com/p/710152125" TargetMode="External" Id="rId56"/><Relationship Type="http://schemas.openxmlformats.org/officeDocument/2006/relationships/hyperlink" Target="https://ebay.com/p/1639381823" TargetMode="External" Id="rId57"/><Relationship Type="http://schemas.openxmlformats.org/officeDocument/2006/relationships/hyperlink" Target="https://ebay.com/p/16039874041" TargetMode="External" Id="rId58"/><Relationship Type="http://schemas.openxmlformats.org/officeDocument/2006/relationships/hyperlink" Target="https://www.officecrave.com/hp-ce255a.html" TargetMode="External" Id="rId59"/><Relationship Type="http://schemas.openxmlformats.org/officeDocument/2006/relationships/hyperlink" Target="https://ebay.com/p/747446709" TargetMode="External" Id="rId60"/><Relationship Type="http://schemas.openxmlformats.org/officeDocument/2006/relationships/hyperlink" Target="https://www.amazon.com/HP-120A-W1120A-Toner-Cartridge/dp/B07QLCS8VM" TargetMode="External" Id="rId61"/><Relationship Type="http://schemas.openxmlformats.org/officeDocument/2006/relationships/hyperlink" Target="https://www.ebay.com/itm/356592606158" TargetMode="External" Id="rId62"/><Relationship Type="http://schemas.openxmlformats.org/officeDocument/2006/relationships/hyperlink" Target="https://ebay.com/p/3031097777" TargetMode="External" Id="rId63"/><Relationship Type="http://schemas.openxmlformats.org/officeDocument/2006/relationships/hyperlink" Target="https://amazon.com/clp/B08D9DYLS2" TargetMode="External" Id="rId64"/><Relationship Type="http://schemas.openxmlformats.org/officeDocument/2006/relationships/hyperlink" Target="https://officedepot.com/a/products/5620467/Canon-055-Cyan-Toner-Cartridge-3015C001/" TargetMode="External" Id="rId65"/><Relationship Type="http://schemas.openxmlformats.org/officeDocument/2006/relationships/hyperlink" Target="https://www.ebay.com/p/23058878108" TargetMode="External" Id="rId66"/><Relationship Type="http://schemas.openxmlformats.org/officeDocument/2006/relationships/hyperlink" Target="https://ebay.com/p/20064758074" TargetMode="External" Id="rId67"/><Relationship Type="http://schemas.openxmlformats.org/officeDocument/2006/relationships/hyperlink" Target="https://www.247inktoner.com/canon-069-black-toner-cartridge-5094c001-genuine-oem" TargetMode="External" Id="rId68"/><Relationship Type="http://schemas.openxmlformats.org/officeDocument/2006/relationships/hyperlink" Target="https://www.officedepot.com/a/products/9798294/Canon-070-Black-Toner-Cartridge-5639C001/" TargetMode="External" Id="rId69"/><Relationship Type="http://schemas.openxmlformats.org/officeDocument/2006/relationships/hyperlink" Target="https://ebay.com/p/9063656199" TargetMode="External" Id="rId70"/><Relationship Type="http://schemas.openxmlformats.org/officeDocument/2006/relationships/hyperlink" Target="https://itubia.com/products/canon-725-original-black-toner-cartridge" TargetMode="External" Id="rId71"/><Relationship Type="http://schemas.openxmlformats.org/officeDocument/2006/relationships/hyperlink" Target="https://ebay.com/itm/376395955585" TargetMode="External" Id="rId72"/><Relationship Type="http://schemas.openxmlformats.org/officeDocument/2006/relationships/hyperlink" Target="https://www.inkjetsuperstore.ca/p-380938-canon-047-oem-canon-047-2164c001aa-original-black-toner-cartridge" TargetMode="External" Id="rId73"/><Relationship Type="http://schemas.openxmlformats.org/officeDocument/2006/relationships/hyperlink" Target="https://www.absolutetoner.com/products/canon-057-black-original-genuine-oem-toner-cartridge-3009c001" TargetMode="External" Id="rId74"/><Relationship Type="http://schemas.openxmlformats.org/officeDocument/2006/relationships/hyperlink" Target="https://tonerone.odoo.com/shop/genuine-canon-728-black-toner-cartridge-copy-8906" TargetMode="External" Id="rId75"/><Relationship Type="http://schemas.openxmlformats.org/officeDocument/2006/relationships/hyperlink" Target="https://www.cartridgesave.co.uk/2789b002aa.html" TargetMode="External" Id="rId76"/><Relationship Type="http://schemas.openxmlformats.org/officeDocument/2006/relationships/hyperlink" Target="https://www.ebay.co.uk/b/Canon-Cyan-Toner-Cartridges/16204/bn_448439" TargetMode="External" Id="rId77"/><Relationship Type="http://schemas.openxmlformats.org/officeDocument/2006/relationships/hyperlink" Target="https://www.ebay.co.uk/p/1604747833" TargetMode="External" Id="rId78"/><Relationship Type="http://schemas.openxmlformats.org/officeDocument/2006/relationships/hyperlink" Target="https://www.ebay.co.uk/p/1604747833" TargetMode="External" Id="rId79"/><Relationship Type="http://schemas.openxmlformats.org/officeDocument/2006/relationships/hyperlink" Target="https://www.cartridgesave.co.uk/2785b002aa.html" TargetMode="External" Id="rId80"/><Relationship Type="http://schemas.openxmlformats.org/officeDocument/2006/relationships/hyperlink" Target="https://keneraint.com/canon-c-exv-42-genuine-toner" TargetMode="External" Id="rId81"/><Relationship Type="http://schemas.openxmlformats.org/officeDocument/2006/relationships/hyperlink" Target="https://www.stech.ink/products/canon-toner-original-black-c-exv-54-irc-c3025-c3125-c3226i-1394c002ac" TargetMode="External" Id="rId82"/><Relationship Type="http://schemas.openxmlformats.org/officeDocument/2006/relationships/hyperlink" Target="https://atomoffice.com/products/canon-c-exv60-black-original-toner-cartridge" TargetMode="External" Id="rId83"/><Relationship Type="http://schemas.openxmlformats.org/officeDocument/2006/relationships/hyperlink" Target="https://www.amazon.sa/-/en/Canon-Toner-C-EXV-1395C002-St%C3%BCck/dp/B071K6DYX2" TargetMode="External" Id="rId84"/><Relationship Type="http://schemas.openxmlformats.org/officeDocument/2006/relationships/drawing" Target="/xl/drawings/drawing1.xml" Id="rId85"/><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F28C28"/>
    <outlinePr summaryBelow="1" summaryRight="1"/>
    <pageSetUpPr fitToPage="1"/>
  </sheetPr>
  <dimension ref="A1:H21"/>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20"/>
  <cols>
    <col width="4" customWidth="1" min="1" max="1"/>
    <col width="34" customWidth="1" min="2" max="2"/>
    <col width="22" customWidth="1" min="3" max="3"/>
    <col width="5" customWidth="1" min="4" max="4"/>
    <col width="36" customWidth="1" min="5" max="5"/>
    <col width="25" customWidth="1" min="6" max="6"/>
    <col width="5" customWidth="1" min="7" max="7"/>
    <col width="25" customWidth="1" min="8" max="8"/>
  </cols>
  <sheetData>
    <row r="1" ht="36" customHeight="1">
      <c r="A1" s="1" t="inlineStr">
        <is>
          <t>E.S.S. — Suivi commercial des cartouches &amp; toners</t>
        </is>
      </c>
    </row>
    <row r="2" ht="30" customHeight="1">
      <c r="A2" s="2" t="inlineStr">
        <is>
          <t>Base de travail créée à partir des deux PDF fournis · génération du 04/10/2026 · montants confirmés FCFA HT.</t>
        </is>
      </c>
    </row>
    <row r="5" ht="34" customHeight="1">
      <c r="B5" s="3" t="inlineStr">
        <is>
          <t>Références actives (uniques)</t>
        </is>
      </c>
      <c r="C5" s="4">
        <f>COUNTA('Base produits'!$B$5:$B$91)</f>
        <v/>
      </c>
      <c r="E5" s="5" t="inlineStr">
        <is>
          <t>À vérifier avant utilisation commerciale</t>
        </is>
      </c>
    </row>
    <row r="6" ht="52" customHeight="1">
      <c r="B6" s="3" t="inlineStr">
        <is>
          <t>Références avec achat renseigné</t>
        </is>
      </c>
      <c r="C6" s="4">
        <f>COUNT('Base produits'!$H$5:$H$91)</f>
        <v/>
      </c>
      <c r="E6" s="6" t="inlineStr">
        <is>
          <t>• Type déclaré : original (selon votre réponse). Toutefois, certains coûts d’achat sont très inférieurs aux prix de vente d’origine du catalogue ESS (ex. HP85A : 3 500 F vs 38 000 F; HP26A : 8 000 F vs 75 000 F). Vérifier SKU, conditionnement et authenticité avant de vendre comme original.</t>
        </is>
      </c>
    </row>
    <row r="7" ht="40" customHeight="1">
      <c r="B7" s="3" t="inlineStr">
        <is>
          <t>Prix vente client à saisir</t>
        </is>
      </c>
      <c r="C7" s="4">
        <f>COUNTBLANK('Base produits'!$J$5:$J$91)</f>
        <v/>
      </c>
      <c r="E7" s="7" t="inlineStr">
        <is>
          <t>• HP44A figure deux fois : 5 000 F et 5 500 F. Le premier tarif est affiché en prix principal; le second est conservé à côté. À confirmer.</t>
        </is>
      </c>
    </row>
    <row r="8" ht="40" customHeight="1">
      <c r="B8" s="3" t="inlineStr">
        <is>
          <t>Ventes HT enregistrées</t>
        </is>
      </c>
      <c r="C8" s="8">
        <f>SUM(Ventes!$I$5:$I$504)</f>
        <v/>
      </c>
      <c r="E8" s="7" t="inlineStr">
        <is>
          <t>• La source ne donne aucun prix d’achat pour les références 93 à 102; elles ont été exclues de la base principale conformément à votre choix.</t>
        </is>
      </c>
    </row>
    <row r="9" ht="40" customHeight="1">
      <c r="B9" s="3" t="inlineStr">
        <is>
          <t>Marge brute estimée HT</t>
        </is>
      </c>
      <c r="C9" s="8">
        <f>SUM(Ventes!$J$5:$J$504)</f>
        <v/>
      </c>
      <c r="E9" s="7" t="inlineStr">
        <is>
          <t>• Plusieurs suffixes N/C et codes proches ont été interprétés comme noir/cyan pour faciliter le repérage; confirmer les codes fabricant sur les boîtes.</t>
        </is>
      </c>
    </row>
    <row r="10" ht="52" customHeight="1">
      <c r="B10" s="3" t="inlineStr">
        <is>
          <t>Références exclues (prix d’achat manquant)</t>
        </is>
      </c>
      <c r="C10" s="4" t="n">
        <v>10</v>
      </c>
      <c r="E10" s="7" t="inlineStr">
        <is>
          <t>• Les photos sont des images Web indicatives, pas une preuve que le produit en stock est identique ou authentique. Les sources sont cliquables dans l’onglet Catalogue visuel.</t>
        </is>
      </c>
    </row>
    <row r="11" ht="34" customHeight="1">
      <c r="B11" s="3" t="inlineStr">
        <is>
          <t>Visuels trouvés (indicatifs)</t>
        </is>
      </c>
      <c r="C11" s="4">
        <f>COUNTIF('Catalogue visuel'!$H$5:$H$91,"Ouvrir la source")</f>
        <v/>
      </c>
    </row>
    <row r="12" ht="34" customHeight="1">
      <c r="B12" s="3" t="inlineStr">
        <is>
          <t>Visuels à ajouter</t>
        </is>
      </c>
      <c r="C12" s="4">
        <f>COUNTBLANK('Catalogue visuel'!$H$5:$H$91)</f>
        <v/>
      </c>
    </row>
    <row r="15">
      <c r="B15" s="9" t="inlineStr">
        <is>
          <t>Démarrage rapide</t>
        </is>
      </c>
    </row>
    <row r="16" ht="36" customHeight="1">
      <c r="B16" s="10" t="inlineStr">
        <is>
          <t>1</t>
        </is>
      </c>
      <c r="C16" s="11" t="inlineStr">
        <is>
          <t>Dans « Base produits », saisissez vos prix client dans les cellules jaunes; le champ est laissé vide exprès, selon votre choix de fixation manuelle.</t>
        </is>
      </c>
    </row>
    <row r="17" ht="36" customHeight="1">
      <c r="B17" s="10" t="inlineStr">
        <is>
          <t>2</t>
        </is>
      </c>
      <c r="C17" s="11" t="inlineStr">
        <is>
          <t>Saisissez le stock constaté au départ dans « Stock initial ». Le stock théorique se calcule ensuite à partir des réceptions et des ventes.</t>
        </is>
      </c>
    </row>
    <row r="18" ht="36" customHeight="1">
      <c r="B18" s="10" t="inlineStr">
        <is>
          <t>3</t>
        </is>
      </c>
      <c r="C18" s="11" t="inlineStr">
        <is>
          <t>Enregistrez les achats/réceptions dans « Réceptions » et les opérations clients dans « Ventes ». Les références sont disponibles dans les listes déroulantes.</t>
        </is>
      </c>
    </row>
    <row r="19" ht="36" customHeight="1">
      <c r="B19" s="10" t="inlineStr">
        <is>
          <t>4</t>
        </is>
      </c>
      <c r="C19" s="11" t="inlineStr">
        <is>
          <t>Utilisez « Catalogue visuel » pour consulter les photos; les cellules jaunes signalent les références pour lesquelles une photo fiable reste à ajouter.</t>
        </is>
      </c>
    </row>
    <row r="21" ht="26" customHeight="1">
      <c r="B21" s="12" t="inlineStr">
        <is>
          <t>Onglets : Base produits (filtrable) · Catalogue visuel · Ventes · Réceptions · Tarifs ESS · Guide &amp; contrôles.</t>
        </is>
      </c>
    </row>
  </sheetData>
  <mergeCells count="14">
    <mergeCell ref="C16:H16"/>
    <mergeCell ref="E9:H9"/>
    <mergeCell ref="C19:H19"/>
    <mergeCell ref="E8:H8"/>
    <mergeCell ref="B21:H21"/>
    <mergeCell ref="A2:H2"/>
    <mergeCell ref="C17:H17"/>
    <mergeCell ref="E6:H6"/>
    <mergeCell ref="E7:H7"/>
    <mergeCell ref="B15:H15"/>
    <mergeCell ref="C18:H18"/>
    <mergeCell ref="A1:H1"/>
    <mergeCell ref="E10:H10"/>
    <mergeCell ref="E5:H5"/>
  </mergeCells>
  <pageMargins left="0.25" right="0.25" top="0.5" bottom="0.5" header="0.5" footer="0.5"/>
  <pageSetup fitToHeight="0" fitToWidth="1"/>
</worksheet>
</file>

<file path=xl/worksheets/sheet2.xml><?xml version="1.0" encoding="utf-8"?>
<worksheet xmlns="http://schemas.openxmlformats.org/spreadsheetml/2006/main">
  <sheetPr>
    <tabColor rgb="001F4E78"/>
    <outlinePr summaryBelow="1" summaryRight="1"/>
    <pageSetUpPr fitToPage="1"/>
  </sheetPr>
  <dimension ref="A1:T91"/>
  <sheetViews>
    <sheetView showGridLines="0" zoomScale="75" workbookViewId="0">
      <pane xSplit="6" ySplit="4" topLeftCell="G5" activePane="bottomRight" state="frozen"/>
      <selection pane="topRight"/>
      <selection pane="bottomLeft"/>
      <selection pane="bottomRight" activeCell="A1" sqref="A1"/>
    </sheetView>
  </sheetViews>
  <sheetFormatPr baseColWidth="8" defaultRowHeight="20"/>
  <cols>
    <col width="15" customWidth="1" min="1" max="1"/>
    <col width="18" customWidth="1" min="2" max="2"/>
    <col width="22" customWidth="1" min="3" max="3"/>
    <col width="25" customWidth="1" min="4" max="4"/>
    <col width="30" customWidth="1" min="5" max="5"/>
    <col width="43" customWidth="1" min="6" max="6"/>
    <col width="27" customWidth="1" min="7" max="7"/>
    <col width="17" customWidth="1" min="8" max="8"/>
    <col width="20" customWidth="1" min="9" max="9"/>
    <col width="23" customWidth="1" min="10" max="10"/>
    <col width="19" customWidth="1" min="11" max="11"/>
    <col width="42" customWidth="1" min="12" max="12"/>
    <col width="17" customWidth="1" min="13" max="13"/>
    <col width="18" customWidth="1" min="14" max="14"/>
    <col width="15" customWidth="1" min="15" max="15"/>
    <col width="14" customWidth="1" min="16" max="16"/>
    <col width="14" customWidth="1" min="17" max="17"/>
    <col width="17" customWidth="1" min="18" max="18"/>
    <col width="66" customWidth="1" min="19" max="19"/>
    <col width="22" customWidth="1" min="20" max="20"/>
  </cols>
  <sheetData>
    <row r="1" ht="36" customHeight="1">
      <c r="A1" s="1" t="inlineStr">
        <is>
          <t>E.S.S. — Base produits cartouches &amp; toners</t>
        </is>
      </c>
    </row>
    <row r="2" ht="30" customHeight="1">
      <c r="A2" s="2" t="inlineStr">
        <is>
          <t>Coûts issus de « Prix imprimante.pdf » · FCFA HT confirmés · prix de vente client à renseigner manuellement · filtrer avec les flèches des en-têtes.</t>
        </is>
      </c>
    </row>
    <row r="4" ht="40" customHeight="1">
      <c r="A4" s="13" t="inlineStr">
        <is>
          <t>Fiche visuelle</t>
        </is>
      </c>
      <c r="B4" s="13" t="inlineStr">
        <is>
          <t>Référence (source)</t>
        </is>
      </c>
      <c r="C4" s="13" t="inlineStr">
        <is>
          <t>Marque</t>
        </is>
      </c>
      <c r="D4" s="13" t="inlineStr">
        <is>
          <t>Famille</t>
        </is>
      </c>
      <c r="E4" s="13" t="inlineStr">
        <is>
          <t>Couleur / variante</t>
        </is>
      </c>
      <c r="F4" s="13" t="inlineStr">
        <is>
          <t>Désignation</t>
        </is>
      </c>
      <c r="G4" s="13" t="inlineStr">
        <is>
          <t>Nature déclarée</t>
        </is>
      </c>
      <c r="H4" s="13" t="inlineStr">
        <is>
          <t>Prix achat HT</t>
        </is>
      </c>
      <c r="I4" s="13" t="inlineStr">
        <is>
          <t>Autre prix achat repéré</t>
        </is>
      </c>
      <c r="J4" s="13" t="inlineStr">
        <is>
          <t>Prix vente client HT — à saisir</t>
        </is>
      </c>
      <c r="K4" s="13" t="inlineStr">
        <is>
          <t>Repère tarif ESS HT</t>
        </is>
      </c>
      <c r="L4" s="13" t="inlineStr">
        <is>
          <t>Source du repère ESS</t>
        </is>
      </c>
      <c r="M4" s="13" t="inlineStr">
        <is>
          <t>Marge brute HT</t>
        </is>
      </c>
      <c r="N4" s="13" t="inlineStr">
        <is>
          <t>Marge % sur vente</t>
        </is>
      </c>
      <c r="O4" s="13" t="inlineStr">
        <is>
          <t>Stock initial</t>
        </is>
      </c>
      <c r="P4" s="13" t="inlineStr">
        <is>
          <t>Entrées</t>
        </is>
      </c>
      <c r="Q4" s="13" t="inlineStr">
        <is>
          <t>Sorties</t>
        </is>
      </c>
      <c r="R4" s="13" t="inlineStr">
        <is>
          <t>Stock théorique</t>
        </is>
      </c>
      <c r="S4" s="13" t="inlineStr">
        <is>
          <t>Contrôle / note</t>
        </is>
      </c>
      <c r="T4" s="13" t="inlineStr">
        <is>
          <t>Source achat</t>
        </is>
      </c>
    </row>
    <row r="5" ht="34" customHeight="1">
      <c r="A5" s="14" t="inlineStr">
        <is>
          <t>Ouvrir photo</t>
        </is>
      </c>
      <c r="B5" s="15" t="inlineStr">
        <is>
          <t>HP85A</t>
        </is>
      </c>
      <c r="C5" s="16" t="inlineStr">
        <is>
          <t>HP</t>
        </is>
      </c>
      <c r="D5" s="17" t="inlineStr">
        <is>
          <t>Cartouche / toner imprimante</t>
        </is>
      </c>
      <c r="E5" s="17" t="inlineStr">
        <is>
          <t>Non précisée dans la source</t>
        </is>
      </c>
      <c r="F5" s="17" t="inlineStr">
        <is>
          <t>Cartouche/toner HP — HP85A (couleur à préciser)</t>
        </is>
      </c>
      <c r="G5" s="16" t="inlineStr">
        <is>
          <t>Original (selon votre confirmation)</t>
        </is>
      </c>
      <c r="H5" s="18" t="n">
        <v>3500</v>
      </c>
      <c r="I5" s="18" t="n"/>
      <c r="J5" s="19" t="n"/>
      <c r="K5" s="20" t="n">
        <v>38000</v>
      </c>
      <c r="L5" s="17" t="inlineStr">
        <is>
          <t>INF-009 — HP 85A / CE285A, correspondance exacte</t>
        </is>
      </c>
      <c r="M5" s="21">
        <f>IF(OR(J5="",H5=""),"",J5-H5)</f>
        <v/>
      </c>
      <c r="N5" s="22">
        <f>IF(OR(J5="",H5="",J5=0),"",M5/J5)</f>
        <v/>
      </c>
      <c r="O5" s="23" t="n"/>
      <c r="P5" s="24">
        <f>SUMIF('Réceptions'!$C$5:$C$504,$B5,'Réceptions'!$E$5:$E$504)</f>
        <v/>
      </c>
      <c r="Q5" s="24">
        <f>SUMIF('Ventes'!$D$5:$D$504,$B5,'Ventes'!$F$5:$F$504)</f>
        <v/>
      </c>
      <c r="R5" s="24">
        <f>IF(O5="","",O5+P5-Q5)</f>
        <v/>
      </c>
      <c r="S5" s="25" t="inlineStr">
        <is>
          <t>Écart très marqué entre coût d’achat et tarif de vente catalogue ESS; confirmer SKU et authenticité avant de publier un prix « original ».</t>
        </is>
      </c>
      <c r="T5" s="17" t="inlineStr">
        <is>
          <t>n°1 p.1</t>
        </is>
      </c>
    </row>
    <row r="6" ht="34" customHeight="1">
      <c r="A6" s="14" t="inlineStr">
        <is>
          <t>Ouvrir photo</t>
        </is>
      </c>
      <c r="B6" s="15" t="inlineStr">
        <is>
          <t>HP83A</t>
        </is>
      </c>
      <c r="C6" s="16" t="inlineStr">
        <is>
          <t>HP</t>
        </is>
      </c>
      <c r="D6" s="17" t="inlineStr">
        <is>
          <t>Cartouche / toner imprimante</t>
        </is>
      </c>
      <c r="E6" s="17" t="inlineStr">
        <is>
          <t>Non précisée dans la source</t>
        </is>
      </c>
      <c r="F6" s="17" t="inlineStr">
        <is>
          <t>Cartouche/toner HP — HP83A (couleur à préciser)</t>
        </is>
      </c>
      <c r="G6" s="16" t="inlineStr">
        <is>
          <t>Original (selon votre confirmation)</t>
        </is>
      </c>
      <c r="H6" s="18" t="n">
        <v>3500</v>
      </c>
      <c r="I6" s="18" t="n"/>
      <c r="J6" s="19" t="n"/>
      <c r="K6" s="18" t="n"/>
      <c r="L6" s="17" t="n"/>
      <c r="M6" s="21">
        <f>IF(OR(J6="",H6=""),"",J6-H6)</f>
        <v/>
      </c>
      <c r="N6" s="22">
        <f>IF(OR(J6="",H6="",J6=0),"",M6/J6)</f>
        <v/>
      </c>
      <c r="O6" s="23" t="n"/>
      <c r="P6" s="24">
        <f>SUMIF('Réceptions'!$C$5:$C$504,$B6,'Réceptions'!$E$5:$E$504)</f>
        <v/>
      </c>
      <c r="Q6" s="24">
        <f>SUMIF('Ventes'!$D$5:$D$504,$B6,'Ventes'!$F$5:$F$504)</f>
        <v/>
      </c>
      <c r="R6" s="24">
        <f>IF(O6="","",O6+P6-Q6)</f>
        <v/>
      </c>
      <c r="S6" s="17" t="inlineStr">
        <is>
          <t>Prix de vente et stock initial à compléter.</t>
        </is>
      </c>
      <c r="T6" s="17" t="inlineStr">
        <is>
          <t>n°2 p.1</t>
        </is>
      </c>
    </row>
    <row r="7" ht="34" customHeight="1">
      <c r="A7" s="14" t="inlineStr">
        <is>
          <t>Ouvrir photo</t>
        </is>
      </c>
      <c r="B7" s="15" t="inlineStr">
        <is>
          <t>HP35A</t>
        </is>
      </c>
      <c r="C7" s="16" t="inlineStr">
        <is>
          <t>HP</t>
        </is>
      </c>
      <c r="D7" s="17" t="inlineStr">
        <is>
          <t>Cartouche / toner imprimante</t>
        </is>
      </c>
      <c r="E7" s="17" t="inlineStr">
        <is>
          <t>Non précisée dans la source</t>
        </is>
      </c>
      <c r="F7" s="17" t="inlineStr">
        <is>
          <t>Cartouche/toner HP — HP35A (couleur à préciser)</t>
        </is>
      </c>
      <c r="G7" s="16" t="inlineStr">
        <is>
          <t>Original (selon votre confirmation)</t>
        </is>
      </c>
      <c r="H7" s="18" t="n">
        <v>4000</v>
      </c>
      <c r="I7" s="18" t="n"/>
      <c r="J7" s="19" t="n"/>
      <c r="K7" s="18" t="n"/>
      <c r="L7" s="17" t="n"/>
      <c r="M7" s="21">
        <f>IF(OR(J7="",H7=""),"",J7-H7)</f>
        <v/>
      </c>
      <c r="N7" s="22">
        <f>IF(OR(J7="",H7="",J7=0),"",M7/J7)</f>
        <v/>
      </c>
      <c r="O7" s="23" t="n"/>
      <c r="P7" s="24">
        <f>SUMIF('Réceptions'!$C$5:$C$504,$B7,'Réceptions'!$E$5:$E$504)</f>
        <v/>
      </c>
      <c r="Q7" s="24">
        <f>SUMIF('Ventes'!$D$5:$D$504,$B7,'Ventes'!$F$5:$F$504)</f>
        <v/>
      </c>
      <c r="R7" s="24">
        <f>IF(O7="","",O7+P7-Q7)</f>
        <v/>
      </c>
      <c r="S7" s="17" t="inlineStr">
        <is>
          <t>Prix de vente et stock initial à compléter.</t>
        </is>
      </c>
      <c r="T7" s="17" t="inlineStr">
        <is>
          <t>n°3 p.1</t>
        </is>
      </c>
    </row>
    <row r="8" ht="34" customHeight="1">
      <c r="A8" s="14" t="inlineStr">
        <is>
          <t>Ouvrir photo</t>
        </is>
      </c>
      <c r="B8" s="15" t="inlineStr">
        <is>
          <t>HP36</t>
        </is>
      </c>
      <c r="C8" s="16" t="inlineStr">
        <is>
          <t>HP</t>
        </is>
      </c>
      <c r="D8" s="17" t="inlineStr">
        <is>
          <t>Cartouche / toner imprimante</t>
        </is>
      </c>
      <c r="E8" s="17" t="inlineStr">
        <is>
          <t>Non précisée dans la source</t>
        </is>
      </c>
      <c r="F8" s="17" t="inlineStr">
        <is>
          <t>Cartouche/toner HP — HP36 (couleur à préciser)</t>
        </is>
      </c>
      <c r="G8" s="16" t="inlineStr">
        <is>
          <t>Original (selon votre confirmation)</t>
        </is>
      </c>
      <c r="H8" s="18" t="n">
        <v>4000</v>
      </c>
      <c r="I8" s="18" t="n"/>
      <c r="J8" s="19" t="n"/>
      <c r="K8" s="18" t="n"/>
      <c r="L8" s="17" t="n"/>
      <c r="M8" s="21">
        <f>IF(OR(J8="",H8=""),"",J8-H8)</f>
        <v/>
      </c>
      <c r="N8" s="22">
        <f>IF(OR(J8="",H8="",J8=0),"",M8/J8)</f>
        <v/>
      </c>
      <c r="O8" s="23" t="n"/>
      <c r="P8" s="24">
        <f>SUMIF('Réceptions'!$C$5:$C$504,$B8,'Réceptions'!$E$5:$E$504)</f>
        <v/>
      </c>
      <c r="Q8" s="24">
        <f>SUMIF('Ventes'!$D$5:$D$504,$B8,'Ventes'!$F$5:$F$504)</f>
        <v/>
      </c>
      <c r="R8" s="24">
        <f>IF(O8="","",O8+P8-Q8)</f>
        <v/>
      </c>
      <c r="S8" s="17" t="inlineStr">
        <is>
          <t>La photo trouvée correspond à HP 36A / CB436A; le suffixe A est absent dans le PDF source.</t>
        </is>
      </c>
      <c r="T8" s="17" t="inlineStr">
        <is>
          <t>n°4 p.1</t>
        </is>
      </c>
    </row>
    <row r="9" ht="34" customHeight="1">
      <c r="A9" s="14" t="inlineStr">
        <is>
          <t>Ouvrir photo</t>
        </is>
      </c>
      <c r="B9" s="15" t="inlineStr">
        <is>
          <t>HP78A</t>
        </is>
      </c>
      <c r="C9" s="16" t="inlineStr">
        <is>
          <t>HP</t>
        </is>
      </c>
      <c r="D9" s="17" t="inlineStr">
        <is>
          <t>Cartouche / toner imprimante</t>
        </is>
      </c>
      <c r="E9" s="17" t="inlineStr">
        <is>
          <t>Non précisée dans la source</t>
        </is>
      </c>
      <c r="F9" s="17" t="inlineStr">
        <is>
          <t>Cartouche/toner HP — HP78A (couleur à préciser)</t>
        </is>
      </c>
      <c r="G9" s="16" t="inlineStr">
        <is>
          <t>Original (selon votre confirmation)</t>
        </is>
      </c>
      <c r="H9" s="18" t="n">
        <v>4000</v>
      </c>
      <c r="I9" s="18" t="n"/>
      <c r="J9" s="19" t="n"/>
      <c r="K9" s="18" t="n"/>
      <c r="L9" s="17" t="n"/>
      <c r="M9" s="21">
        <f>IF(OR(J9="",H9=""),"",J9-H9)</f>
        <v/>
      </c>
      <c r="N9" s="22">
        <f>IF(OR(J9="",H9="",J9=0),"",M9/J9)</f>
        <v/>
      </c>
      <c r="O9" s="23" t="n"/>
      <c r="P9" s="24">
        <f>SUMIF('Réceptions'!$C$5:$C$504,$B9,'Réceptions'!$E$5:$E$504)</f>
        <v/>
      </c>
      <c r="Q9" s="24">
        <f>SUMIF('Ventes'!$D$5:$D$504,$B9,'Ventes'!$F$5:$F$504)</f>
        <v/>
      </c>
      <c r="R9" s="24">
        <f>IF(O9="","",O9+P9-Q9)</f>
        <v/>
      </c>
      <c r="S9" s="17" t="inlineStr">
        <is>
          <t>Prix de vente et stock initial à compléter.</t>
        </is>
      </c>
      <c r="T9" s="17" t="inlineStr">
        <is>
          <t>n°5 p.1</t>
        </is>
      </c>
    </row>
    <row r="10" ht="34" customHeight="1">
      <c r="A10" s="14" t="inlineStr">
        <is>
          <t>Ouvrir photo</t>
        </is>
      </c>
      <c r="B10" s="15" t="inlineStr">
        <is>
          <t>HP79A</t>
        </is>
      </c>
      <c r="C10" s="16" t="inlineStr">
        <is>
          <t>HP</t>
        </is>
      </c>
      <c r="D10" s="17" t="inlineStr">
        <is>
          <t>Cartouche / toner imprimante</t>
        </is>
      </c>
      <c r="E10" s="17" t="inlineStr">
        <is>
          <t>Non précisée dans la source</t>
        </is>
      </c>
      <c r="F10" s="17" t="inlineStr">
        <is>
          <t>Cartouche/toner HP — HP79A (couleur à préciser)</t>
        </is>
      </c>
      <c r="G10" s="16" t="inlineStr">
        <is>
          <t>Original (selon votre confirmation)</t>
        </is>
      </c>
      <c r="H10" s="18" t="n">
        <v>4500</v>
      </c>
      <c r="I10" s="18" t="n"/>
      <c r="J10" s="19" t="n"/>
      <c r="K10" s="18" t="n"/>
      <c r="L10" s="17" t="n"/>
      <c r="M10" s="21">
        <f>IF(OR(J10="",H10=""),"",J10-H10)</f>
        <v/>
      </c>
      <c r="N10" s="22">
        <f>IF(OR(J10="",H10="",J10=0),"",M10/J10)</f>
        <v/>
      </c>
      <c r="O10" s="23" t="n"/>
      <c r="P10" s="24">
        <f>SUMIF('Réceptions'!$C$5:$C$504,$B10,'Réceptions'!$E$5:$E$504)</f>
        <v/>
      </c>
      <c r="Q10" s="24">
        <f>SUMIF('Ventes'!$D$5:$D$504,$B10,'Ventes'!$F$5:$F$504)</f>
        <v/>
      </c>
      <c r="R10" s="24">
        <f>IF(O10="","",O10+P10-Q10)</f>
        <v/>
      </c>
      <c r="S10" s="17" t="inlineStr">
        <is>
          <t>Prix de vente et stock initial à compléter.</t>
        </is>
      </c>
      <c r="T10" s="17" t="inlineStr">
        <is>
          <t>n°6 p.1</t>
        </is>
      </c>
    </row>
    <row r="11" ht="34" customHeight="1">
      <c r="A11" s="14" t="inlineStr">
        <is>
          <t>Ouvrir photo</t>
        </is>
      </c>
      <c r="B11" s="15" t="inlineStr">
        <is>
          <t>HP05A</t>
        </is>
      </c>
      <c r="C11" s="16" t="inlineStr">
        <is>
          <t>HP</t>
        </is>
      </c>
      <c r="D11" s="17" t="inlineStr">
        <is>
          <t>Cartouche / toner imprimante</t>
        </is>
      </c>
      <c r="E11" s="17" t="inlineStr">
        <is>
          <t>Non précisée dans la source</t>
        </is>
      </c>
      <c r="F11" s="17" t="inlineStr">
        <is>
          <t>Cartouche/toner HP — HP05A (couleur à préciser)</t>
        </is>
      </c>
      <c r="G11" s="16" t="inlineStr">
        <is>
          <t>Original (selon votre confirmation)</t>
        </is>
      </c>
      <c r="H11" s="18" t="n">
        <v>5000</v>
      </c>
      <c r="I11" s="18" t="n"/>
      <c r="J11" s="19" t="n"/>
      <c r="K11" s="18" t="n"/>
      <c r="L11" s="17" t="n"/>
      <c r="M11" s="21">
        <f>IF(OR(J11="",H11=""),"",J11-H11)</f>
        <v/>
      </c>
      <c r="N11" s="22">
        <f>IF(OR(J11="",H11="",J11=0),"",M11/J11)</f>
        <v/>
      </c>
      <c r="O11" s="23" t="n"/>
      <c r="P11" s="24">
        <f>SUMIF('Réceptions'!$C$5:$C$504,$B11,'Réceptions'!$E$5:$E$504)</f>
        <v/>
      </c>
      <c r="Q11" s="24">
        <f>SUMIF('Ventes'!$D$5:$D$504,$B11,'Ventes'!$F$5:$F$504)</f>
        <v/>
      </c>
      <c r="R11" s="24">
        <f>IF(O11="","",O11+P11-Q11)</f>
        <v/>
      </c>
      <c r="S11" s="17" t="inlineStr">
        <is>
          <t>Prix de vente et stock initial à compléter.</t>
        </is>
      </c>
      <c r="T11" s="17" t="inlineStr">
        <is>
          <t>n°7 p.1</t>
        </is>
      </c>
    </row>
    <row r="12" ht="34" customHeight="1">
      <c r="A12" s="14" t="inlineStr">
        <is>
          <t>Ouvrir photo</t>
        </is>
      </c>
      <c r="B12" s="15" t="inlineStr">
        <is>
          <t>HP12A</t>
        </is>
      </c>
      <c r="C12" s="16" t="inlineStr">
        <is>
          <t>HP</t>
        </is>
      </c>
      <c r="D12" s="17" t="inlineStr">
        <is>
          <t>Cartouche / toner imprimante</t>
        </is>
      </c>
      <c r="E12" s="17" t="inlineStr">
        <is>
          <t>Non précisée dans la source</t>
        </is>
      </c>
      <c r="F12" s="17" t="inlineStr">
        <is>
          <t>Cartouche/toner HP — HP12A (couleur à préciser)</t>
        </is>
      </c>
      <c r="G12" s="16" t="inlineStr">
        <is>
          <t>Original (selon votre confirmation)</t>
        </is>
      </c>
      <c r="H12" s="18" t="n">
        <v>4000</v>
      </c>
      <c r="I12" s="18" t="n"/>
      <c r="J12" s="19" t="n"/>
      <c r="K12" s="18" t="n"/>
      <c r="L12" s="17" t="n"/>
      <c r="M12" s="21">
        <f>IF(OR(J12="",H12=""),"",J12-H12)</f>
        <v/>
      </c>
      <c r="N12" s="22">
        <f>IF(OR(J12="",H12="",J12=0),"",M12/J12)</f>
        <v/>
      </c>
      <c r="O12" s="23" t="n"/>
      <c r="P12" s="24">
        <f>SUMIF('Réceptions'!$C$5:$C$504,$B12,'Réceptions'!$E$5:$E$504)</f>
        <v/>
      </c>
      <c r="Q12" s="24">
        <f>SUMIF('Ventes'!$D$5:$D$504,$B12,'Ventes'!$F$5:$F$504)</f>
        <v/>
      </c>
      <c r="R12" s="24">
        <f>IF(O12="","",O12+P12-Q12)</f>
        <v/>
      </c>
      <c r="S12" s="17" t="inlineStr">
        <is>
          <t>Prix de vente et stock initial à compléter.</t>
        </is>
      </c>
      <c r="T12" s="17" t="inlineStr">
        <is>
          <t>n°8 p.1</t>
        </is>
      </c>
    </row>
    <row r="13" ht="34" customHeight="1">
      <c r="A13" s="14" t="inlineStr">
        <is>
          <t>Ouvrir photo</t>
        </is>
      </c>
      <c r="B13" s="15" t="inlineStr">
        <is>
          <t>HP106A</t>
        </is>
      </c>
      <c r="C13" s="16" t="inlineStr">
        <is>
          <t>HP</t>
        </is>
      </c>
      <c r="D13" s="17" t="inlineStr">
        <is>
          <t>Cartouche / toner imprimante</t>
        </is>
      </c>
      <c r="E13" s="17" t="inlineStr">
        <is>
          <t>Non précisée dans la source</t>
        </is>
      </c>
      <c r="F13" s="17" t="inlineStr">
        <is>
          <t>Cartouche/toner HP — HP106A (couleur à préciser)</t>
        </is>
      </c>
      <c r="G13" s="16" t="inlineStr">
        <is>
          <t>Original (selon votre confirmation)</t>
        </is>
      </c>
      <c r="H13" s="18" t="n">
        <v>6000</v>
      </c>
      <c r="I13" s="18" t="n"/>
      <c r="J13" s="19" t="n"/>
      <c r="K13" s="18" t="n"/>
      <c r="L13" s="17" t="n"/>
      <c r="M13" s="21">
        <f>IF(OR(J13="",H13=""),"",J13-H13)</f>
        <v/>
      </c>
      <c r="N13" s="22">
        <f>IF(OR(J13="",H13="",J13=0),"",M13/J13)</f>
        <v/>
      </c>
      <c r="O13" s="23" t="n"/>
      <c r="P13" s="24">
        <f>SUMIF('Réceptions'!$C$5:$C$504,$B13,'Réceptions'!$E$5:$E$504)</f>
        <v/>
      </c>
      <c r="Q13" s="24">
        <f>SUMIF('Ventes'!$D$5:$D$504,$B13,'Ventes'!$F$5:$F$504)</f>
        <v/>
      </c>
      <c r="R13" s="24">
        <f>IF(O13="","",O13+P13-Q13)</f>
        <v/>
      </c>
      <c r="S13" s="17" t="inlineStr">
        <is>
          <t>Prix de vente et stock initial à compléter.</t>
        </is>
      </c>
      <c r="T13" s="17" t="inlineStr">
        <is>
          <t>n°9 p.1</t>
        </is>
      </c>
    </row>
    <row r="14" ht="34" customHeight="1">
      <c r="A14" s="14" t="inlineStr">
        <is>
          <t>Ouvrir photo</t>
        </is>
      </c>
      <c r="B14" s="15" t="inlineStr">
        <is>
          <t>HP107A</t>
        </is>
      </c>
      <c r="C14" s="16" t="inlineStr">
        <is>
          <t>HP</t>
        </is>
      </c>
      <c r="D14" s="17" t="inlineStr">
        <is>
          <t>Cartouche / toner imprimante</t>
        </is>
      </c>
      <c r="E14" s="17" t="inlineStr">
        <is>
          <t>Non précisée dans la source</t>
        </is>
      </c>
      <c r="F14" s="17" t="inlineStr">
        <is>
          <t>Cartouche/toner HP — HP107A (couleur à préciser)</t>
        </is>
      </c>
      <c r="G14" s="16" t="inlineStr">
        <is>
          <t>Original (selon votre confirmation)</t>
        </is>
      </c>
      <c r="H14" s="18" t="n">
        <v>6000</v>
      </c>
      <c r="I14" s="18" t="n"/>
      <c r="J14" s="19" t="n"/>
      <c r="K14" s="18" t="n"/>
      <c r="L14" s="17" t="n"/>
      <c r="M14" s="21">
        <f>IF(OR(J14="",H14=""),"",J14-H14)</f>
        <v/>
      </c>
      <c r="N14" s="22">
        <f>IF(OR(J14="",H14="",J14=0),"",M14/J14)</f>
        <v/>
      </c>
      <c r="O14" s="23" t="n"/>
      <c r="P14" s="24">
        <f>SUMIF('Réceptions'!$C$5:$C$504,$B14,'Réceptions'!$E$5:$E$504)</f>
        <v/>
      </c>
      <c r="Q14" s="24">
        <f>SUMIF('Ventes'!$D$5:$D$504,$B14,'Ventes'!$F$5:$F$504)</f>
        <v/>
      </c>
      <c r="R14" s="24">
        <f>IF(O14="","",O14+P14-Q14)</f>
        <v/>
      </c>
      <c r="S14" s="17" t="inlineStr">
        <is>
          <t>Prix de vente et stock initial à compléter.</t>
        </is>
      </c>
      <c r="T14" s="17" t="inlineStr">
        <is>
          <t>n°10 p.1</t>
        </is>
      </c>
    </row>
    <row r="15" ht="34" customHeight="1">
      <c r="A15" s="14" t="inlineStr">
        <is>
          <t>Ouvrir photo</t>
        </is>
      </c>
      <c r="B15" s="15" t="inlineStr">
        <is>
          <t>HP135A</t>
        </is>
      </c>
      <c r="C15" s="16" t="inlineStr">
        <is>
          <t>HP</t>
        </is>
      </c>
      <c r="D15" s="17" t="inlineStr">
        <is>
          <t>Cartouche / toner imprimante</t>
        </is>
      </c>
      <c r="E15" s="17" t="inlineStr">
        <is>
          <t>Non précisée dans la source</t>
        </is>
      </c>
      <c r="F15" s="17" t="inlineStr">
        <is>
          <t>Cartouche/toner HP — HP135A (couleur à préciser)</t>
        </is>
      </c>
      <c r="G15" s="16" t="inlineStr">
        <is>
          <t>Original (selon votre confirmation)</t>
        </is>
      </c>
      <c r="H15" s="18" t="n">
        <v>13000</v>
      </c>
      <c r="I15" s="18" t="n"/>
      <c r="J15" s="19" t="n"/>
      <c r="K15" s="18" t="n"/>
      <c r="L15" s="17" t="n"/>
      <c r="M15" s="21">
        <f>IF(OR(J15="",H15=""),"",J15-H15)</f>
        <v/>
      </c>
      <c r="N15" s="22">
        <f>IF(OR(J15="",H15="",J15=0),"",M15/J15)</f>
        <v/>
      </c>
      <c r="O15" s="23" t="n"/>
      <c r="P15" s="24">
        <f>SUMIF('Réceptions'!$C$5:$C$504,$B15,'Réceptions'!$E$5:$E$504)</f>
        <v/>
      </c>
      <c r="Q15" s="24">
        <f>SUMIF('Ventes'!$D$5:$D$504,$B15,'Ventes'!$F$5:$F$504)</f>
        <v/>
      </c>
      <c r="R15" s="24">
        <f>IF(O15="","",O15+P15-Q15)</f>
        <v/>
      </c>
      <c r="S15" s="17" t="inlineStr">
        <is>
          <t>Prix de vente et stock initial à compléter.</t>
        </is>
      </c>
      <c r="T15" s="17" t="inlineStr">
        <is>
          <t>n°11 p.1</t>
        </is>
      </c>
    </row>
    <row r="16" ht="34" customHeight="1">
      <c r="A16" s="14" t="inlineStr">
        <is>
          <t>Ouvrir photo</t>
        </is>
      </c>
      <c r="B16" s="15" t="inlineStr">
        <is>
          <t>HP26A</t>
        </is>
      </c>
      <c r="C16" s="16" t="inlineStr">
        <is>
          <t>HP</t>
        </is>
      </c>
      <c r="D16" s="17" t="inlineStr">
        <is>
          <t>Cartouche / toner imprimante</t>
        </is>
      </c>
      <c r="E16" s="17" t="inlineStr">
        <is>
          <t>Non précisée dans la source</t>
        </is>
      </c>
      <c r="F16" s="17" t="inlineStr">
        <is>
          <t>Cartouche/toner HP — HP26A (couleur à préciser)</t>
        </is>
      </c>
      <c r="G16" s="16" t="inlineStr">
        <is>
          <t>Original (selon votre confirmation)</t>
        </is>
      </c>
      <c r="H16" s="18" t="n">
        <v>8000</v>
      </c>
      <c r="I16" s="18" t="n"/>
      <c r="J16" s="19" t="n"/>
      <c r="K16" s="20" t="n">
        <v>75000</v>
      </c>
      <c r="L16" s="17" t="inlineStr">
        <is>
          <t>INF-008 — HP 26A / CF226A, correspondance exacte</t>
        </is>
      </c>
      <c r="M16" s="21">
        <f>IF(OR(J16="",H16=""),"",J16-H16)</f>
        <v/>
      </c>
      <c r="N16" s="22">
        <f>IF(OR(J16="",H16="",J16=0),"",M16/J16)</f>
        <v/>
      </c>
      <c r="O16" s="23" t="n"/>
      <c r="P16" s="24">
        <f>SUMIF('Réceptions'!$C$5:$C$504,$B16,'Réceptions'!$E$5:$E$504)</f>
        <v/>
      </c>
      <c r="Q16" s="24">
        <f>SUMIF('Ventes'!$D$5:$D$504,$B16,'Ventes'!$F$5:$F$504)</f>
        <v/>
      </c>
      <c r="R16" s="24">
        <f>IF(O16="","",O16+P16-Q16)</f>
        <v/>
      </c>
      <c r="S16" s="25" t="inlineStr">
        <is>
          <t>Écart très marqué entre coût d’achat et tarif de vente catalogue ESS; confirmer SKU et authenticité avant de publier un prix « original ».</t>
        </is>
      </c>
      <c r="T16" s="17" t="inlineStr">
        <is>
          <t>n°12 p.1</t>
        </is>
      </c>
    </row>
    <row r="17" ht="34" customHeight="1">
      <c r="A17" s="14" t="inlineStr">
        <is>
          <t>Ouvrir photo</t>
        </is>
      </c>
      <c r="B17" s="15" t="inlineStr">
        <is>
          <t>HP44A</t>
        </is>
      </c>
      <c r="C17" s="16" t="inlineStr">
        <is>
          <t>HP</t>
        </is>
      </c>
      <c r="D17" s="17" t="inlineStr">
        <is>
          <t>Cartouche / toner imprimante</t>
        </is>
      </c>
      <c r="E17" s="17" t="inlineStr">
        <is>
          <t>Non précisée dans la source</t>
        </is>
      </c>
      <c r="F17" s="17" t="inlineStr">
        <is>
          <t>Cartouche/toner HP — HP44A (couleur à préciser)</t>
        </is>
      </c>
      <c r="G17" s="16" t="inlineStr">
        <is>
          <t>Original (selon votre confirmation)</t>
        </is>
      </c>
      <c r="H17" s="26" t="n">
        <v>5000</v>
      </c>
      <c r="I17" s="26" t="n">
        <v>5500</v>
      </c>
      <c r="J17" s="19" t="n"/>
      <c r="K17" s="18" t="n"/>
      <c r="L17" s="17" t="n"/>
      <c r="M17" s="21">
        <f>IF(OR(J17="",H17=""),"",J17-H17)</f>
        <v/>
      </c>
      <c r="N17" s="22">
        <f>IF(OR(J17="",H17="",J17=0),"",M17/J17)</f>
        <v/>
      </c>
      <c r="O17" s="23" t="n"/>
      <c r="P17" s="24">
        <f>SUMIF('Réceptions'!$C$5:$C$504,$B17,'Réceptions'!$E$5:$E$504)</f>
        <v/>
      </c>
      <c r="Q17" s="24">
        <f>SUMIF('Ventes'!$D$5:$D$504,$B17,'Ventes'!$F$5:$F$504)</f>
        <v/>
      </c>
      <c r="R17" s="24">
        <f>IF(O17="","",O17+P17-Q17)</f>
        <v/>
      </c>
      <c r="S17" s="17" t="inlineStr">
        <is>
          <t>Doublon source avec deux coûts : n°13 = 5 000 F; n°61 = 5 500 F. Les deux sont conservés; le premier est affiché en coût principal.</t>
        </is>
      </c>
      <c r="T17" s="17" t="inlineStr">
        <is>
          <t>n°13 p.1; n°61 p.2</t>
        </is>
      </c>
    </row>
    <row r="18" ht="34" customHeight="1">
      <c r="A18" s="14" t="inlineStr">
        <is>
          <t>Ouvrir photo</t>
        </is>
      </c>
      <c r="B18" s="15" t="inlineStr">
        <is>
          <t>HP201N</t>
        </is>
      </c>
      <c r="C18" s="16" t="inlineStr">
        <is>
          <t>HP</t>
        </is>
      </c>
      <c r="D18" s="17" t="inlineStr">
        <is>
          <t>Cartouche / toner imprimante</t>
        </is>
      </c>
      <c r="E18" s="17" t="inlineStr">
        <is>
          <t>Noir (suffixe N à confirmer)</t>
        </is>
      </c>
      <c r="F18" s="17" t="inlineStr">
        <is>
          <t>Cartouche/toner HP — HP201N (noir)</t>
        </is>
      </c>
      <c r="G18" s="16" t="inlineStr">
        <is>
          <t>Original (selon votre confirmation)</t>
        </is>
      </c>
      <c r="H18" s="18" t="n">
        <v>7500</v>
      </c>
      <c r="I18" s="18" t="n"/>
      <c r="J18" s="19" t="n"/>
      <c r="K18" s="18" t="n"/>
      <c r="L18" s="17" t="n"/>
      <c r="M18" s="21">
        <f>IF(OR(J18="",H18=""),"",J18-H18)</f>
        <v/>
      </c>
      <c r="N18" s="22">
        <f>IF(OR(J18="",H18="",J18=0),"",M18/J18)</f>
        <v/>
      </c>
      <c r="O18" s="23" t="n"/>
      <c r="P18" s="24">
        <f>SUMIF('Réceptions'!$C$5:$C$504,$B18,'Réceptions'!$E$5:$E$504)</f>
        <v/>
      </c>
      <c r="Q18" s="24">
        <f>SUMIF('Ventes'!$D$5:$D$504,$B18,'Ventes'!$F$5:$F$504)</f>
        <v/>
      </c>
      <c r="R18" s="24">
        <f>IF(O18="","",O18+P18-Q18)</f>
        <v/>
      </c>
      <c r="S18" s="17" t="inlineStr">
        <is>
          <t>Prix de vente et stock initial à compléter.</t>
        </is>
      </c>
      <c r="T18" s="17" t="inlineStr">
        <is>
          <t>n°14 p.1</t>
        </is>
      </c>
    </row>
    <row r="19" ht="34" customHeight="1">
      <c r="A19" s="14" t="inlineStr">
        <is>
          <t>Ouvrir photo</t>
        </is>
      </c>
      <c r="B19" s="15" t="inlineStr">
        <is>
          <t>HP201C</t>
        </is>
      </c>
      <c r="C19" s="16" t="inlineStr">
        <is>
          <t>HP</t>
        </is>
      </c>
      <c r="D19" s="17" t="inlineStr">
        <is>
          <t>Cartouche / toner imprimante</t>
        </is>
      </c>
      <c r="E19" s="17" t="inlineStr">
        <is>
          <t>Cyan/couleur (suffixe C à confirmer)</t>
        </is>
      </c>
      <c r="F19" s="17" t="inlineStr">
        <is>
          <t>Cartouche/toner HP — HP201C (cyan / couleur)</t>
        </is>
      </c>
      <c r="G19" s="16" t="inlineStr">
        <is>
          <t>Original (selon votre confirmation)</t>
        </is>
      </c>
      <c r="H19" s="18" t="n">
        <v>7500</v>
      </c>
      <c r="I19" s="18" t="n"/>
      <c r="J19" s="19" t="n"/>
      <c r="K19" s="18" t="n"/>
      <c r="L19" s="17" t="n"/>
      <c r="M19" s="21">
        <f>IF(OR(J19="",H19=""),"",J19-H19)</f>
        <v/>
      </c>
      <c r="N19" s="22">
        <f>IF(OR(J19="",H19="",J19=0),"",M19/J19)</f>
        <v/>
      </c>
      <c r="O19" s="23" t="n"/>
      <c r="P19" s="24">
        <f>SUMIF('Réceptions'!$C$5:$C$504,$B19,'Réceptions'!$E$5:$E$504)</f>
        <v/>
      </c>
      <c r="Q19" s="24">
        <f>SUMIF('Ventes'!$D$5:$D$504,$B19,'Ventes'!$F$5:$F$504)</f>
        <v/>
      </c>
      <c r="R19" s="24">
        <f>IF(O19="","",O19+P19-Q19)</f>
        <v/>
      </c>
      <c r="S19" s="17" t="inlineStr">
        <is>
          <t>Prix de vente et stock initial à compléter.</t>
        </is>
      </c>
      <c r="T19" s="17" t="inlineStr">
        <is>
          <t>n°15 p.1</t>
        </is>
      </c>
    </row>
    <row r="20" ht="34" customHeight="1">
      <c r="A20" s="14" t="inlineStr">
        <is>
          <t>Ouvrir photo</t>
        </is>
      </c>
      <c r="B20" s="15" t="inlineStr">
        <is>
          <t>HP80A</t>
        </is>
      </c>
      <c r="C20" s="16" t="inlineStr">
        <is>
          <t>HP</t>
        </is>
      </c>
      <c r="D20" s="17" t="inlineStr">
        <is>
          <t>Cartouche / toner imprimante</t>
        </is>
      </c>
      <c r="E20" s="17" t="inlineStr">
        <is>
          <t>Non précisée dans la source</t>
        </is>
      </c>
      <c r="F20" s="17" t="inlineStr">
        <is>
          <t>Cartouche/toner HP — HP80A (couleur à préciser)</t>
        </is>
      </c>
      <c r="G20" s="16" t="inlineStr">
        <is>
          <t>Original (selon votre confirmation)</t>
        </is>
      </c>
      <c r="H20" s="18" t="n">
        <v>5000</v>
      </c>
      <c r="I20" s="18" t="n"/>
      <c r="J20" s="19" t="n"/>
      <c r="K20" s="18" t="n"/>
      <c r="L20" s="17" t="n"/>
      <c r="M20" s="21">
        <f>IF(OR(J20="",H20=""),"",J20-H20)</f>
        <v/>
      </c>
      <c r="N20" s="22">
        <f>IF(OR(J20="",H20="",J20=0),"",M20/J20)</f>
        <v/>
      </c>
      <c r="O20" s="23" t="n"/>
      <c r="P20" s="24">
        <f>SUMIF('Réceptions'!$C$5:$C$504,$B20,'Réceptions'!$E$5:$E$504)</f>
        <v/>
      </c>
      <c r="Q20" s="24">
        <f>SUMIF('Ventes'!$D$5:$D$504,$B20,'Ventes'!$F$5:$F$504)</f>
        <v/>
      </c>
      <c r="R20" s="24">
        <f>IF(O20="","",O20+P20-Q20)</f>
        <v/>
      </c>
      <c r="S20" s="17" t="inlineStr">
        <is>
          <t>Prix de vente et stock initial à compléter.</t>
        </is>
      </c>
      <c r="T20" s="17" t="inlineStr">
        <is>
          <t>n°16 p.1</t>
        </is>
      </c>
    </row>
    <row r="21" ht="34" customHeight="1">
      <c r="A21" s="14" t="inlineStr">
        <is>
          <t>Ouvrir photo</t>
        </is>
      </c>
      <c r="B21" s="15" t="inlineStr">
        <is>
          <t>HP90A</t>
        </is>
      </c>
      <c r="C21" s="16" t="inlineStr">
        <is>
          <t>HP</t>
        </is>
      </c>
      <c r="D21" s="17" t="inlineStr">
        <is>
          <t>Cartouche / toner imprimante</t>
        </is>
      </c>
      <c r="E21" s="17" t="inlineStr">
        <is>
          <t>Non précisée dans la source</t>
        </is>
      </c>
      <c r="F21" s="17" t="inlineStr">
        <is>
          <t>Cartouche/toner HP — HP90A (couleur à préciser)</t>
        </is>
      </c>
      <c r="G21" s="16" t="inlineStr">
        <is>
          <t>Original (selon votre confirmation)</t>
        </is>
      </c>
      <c r="H21" s="18" t="n">
        <v>17000</v>
      </c>
      <c r="I21" s="18" t="n"/>
      <c r="J21" s="19" t="n"/>
      <c r="K21" s="18" t="n"/>
      <c r="L21" s="17" t="n"/>
      <c r="M21" s="21">
        <f>IF(OR(J21="",H21=""),"",J21-H21)</f>
        <v/>
      </c>
      <c r="N21" s="22">
        <f>IF(OR(J21="",H21="",J21=0),"",M21/J21)</f>
        <v/>
      </c>
      <c r="O21" s="23" t="n"/>
      <c r="P21" s="24">
        <f>SUMIF('Réceptions'!$C$5:$C$504,$B21,'Réceptions'!$E$5:$E$504)</f>
        <v/>
      </c>
      <c r="Q21" s="24">
        <f>SUMIF('Ventes'!$D$5:$D$504,$B21,'Ventes'!$F$5:$F$504)</f>
        <v/>
      </c>
      <c r="R21" s="24">
        <f>IF(O21="","",O21+P21-Q21)</f>
        <v/>
      </c>
      <c r="S21" s="17" t="inlineStr">
        <is>
          <t>Prix de vente et stock initial à compléter.</t>
        </is>
      </c>
      <c r="T21" s="17" t="inlineStr">
        <is>
          <t>n°17 p.1</t>
        </is>
      </c>
    </row>
    <row r="22" ht="34" customHeight="1">
      <c r="A22" s="14" t="inlineStr">
        <is>
          <t>Ouvrir photo</t>
        </is>
      </c>
      <c r="B22" s="15" t="inlineStr">
        <is>
          <t>HP17A</t>
        </is>
      </c>
      <c r="C22" s="16" t="inlineStr">
        <is>
          <t>HP</t>
        </is>
      </c>
      <c r="D22" s="17" t="inlineStr">
        <is>
          <t>Cartouche / toner imprimante</t>
        </is>
      </c>
      <c r="E22" s="17" t="inlineStr">
        <is>
          <t>Non précisée dans la source</t>
        </is>
      </c>
      <c r="F22" s="17" t="inlineStr">
        <is>
          <t>Cartouche/toner HP — HP17A (couleur à préciser)</t>
        </is>
      </c>
      <c r="G22" s="16" t="inlineStr">
        <is>
          <t>Original (selon votre confirmation)</t>
        </is>
      </c>
      <c r="H22" s="18" t="n">
        <v>5000</v>
      </c>
      <c r="I22" s="18" t="n"/>
      <c r="J22" s="19" t="n"/>
      <c r="K22" s="18" t="n"/>
      <c r="L22" s="17" t="n"/>
      <c r="M22" s="21">
        <f>IF(OR(J22="",H22=""),"",J22-H22)</f>
        <v/>
      </c>
      <c r="N22" s="22">
        <f>IF(OR(J22="",H22="",J22=0),"",M22/J22)</f>
        <v/>
      </c>
      <c r="O22" s="23" t="n"/>
      <c r="P22" s="24">
        <f>SUMIF('Réceptions'!$C$5:$C$504,$B22,'Réceptions'!$E$5:$E$504)</f>
        <v/>
      </c>
      <c r="Q22" s="24">
        <f>SUMIF('Ventes'!$D$5:$D$504,$B22,'Ventes'!$F$5:$F$504)</f>
        <v/>
      </c>
      <c r="R22" s="24">
        <f>IF(O22="","",O22+P22-Q22)</f>
        <v/>
      </c>
      <c r="S22" s="17" t="inlineStr">
        <is>
          <t>Prix de vente et stock initial à compléter.</t>
        </is>
      </c>
      <c r="T22" s="17" t="inlineStr">
        <is>
          <t>n°18 p.1</t>
        </is>
      </c>
    </row>
    <row r="23" ht="34" customHeight="1">
      <c r="A23" s="14" t="inlineStr">
        <is>
          <t>Ouvrir photo</t>
        </is>
      </c>
      <c r="B23" s="15" t="inlineStr">
        <is>
          <t>HP30A</t>
        </is>
      </c>
      <c r="C23" s="16" t="inlineStr">
        <is>
          <t>HP</t>
        </is>
      </c>
      <c r="D23" s="17" t="inlineStr">
        <is>
          <t>Cartouche / toner imprimante</t>
        </is>
      </c>
      <c r="E23" s="17" t="inlineStr">
        <is>
          <t>Non précisée dans la source</t>
        </is>
      </c>
      <c r="F23" s="17" t="inlineStr">
        <is>
          <t>Cartouche/toner HP — HP30A (couleur à préciser)</t>
        </is>
      </c>
      <c r="G23" s="16" t="inlineStr">
        <is>
          <t>Original (selon votre confirmation)</t>
        </is>
      </c>
      <c r="H23" s="18" t="n">
        <v>6000</v>
      </c>
      <c r="I23" s="18" t="n"/>
      <c r="J23" s="19" t="n"/>
      <c r="K23" s="18" t="n"/>
      <c r="L23" s="17" t="n"/>
      <c r="M23" s="21">
        <f>IF(OR(J23="",H23=""),"",J23-H23)</f>
        <v/>
      </c>
      <c r="N23" s="22">
        <f>IF(OR(J23="",H23="",J23=0),"",M23/J23)</f>
        <v/>
      </c>
      <c r="O23" s="23" t="n"/>
      <c r="P23" s="24">
        <f>SUMIF('Réceptions'!$C$5:$C$504,$B23,'Réceptions'!$E$5:$E$504)</f>
        <v/>
      </c>
      <c r="Q23" s="24">
        <f>SUMIF('Ventes'!$D$5:$D$504,$B23,'Ventes'!$F$5:$F$504)</f>
        <v/>
      </c>
      <c r="R23" s="24">
        <f>IF(O23="","",O23+P23-Q23)</f>
        <v/>
      </c>
      <c r="S23" s="17" t="inlineStr">
        <is>
          <t>Prix de vente et stock initial à compléter.</t>
        </is>
      </c>
      <c r="T23" s="17" t="inlineStr">
        <is>
          <t>n°19 p.1</t>
        </is>
      </c>
    </row>
    <row r="24" ht="34" customHeight="1">
      <c r="A24" s="14" t="inlineStr">
        <is>
          <t>Ouvrir photo</t>
        </is>
      </c>
      <c r="B24" s="15" t="inlineStr">
        <is>
          <t>HP150A</t>
        </is>
      </c>
      <c r="C24" s="16" t="inlineStr">
        <is>
          <t>HP</t>
        </is>
      </c>
      <c r="D24" s="17" t="inlineStr">
        <is>
          <t>Cartouche / toner imprimante</t>
        </is>
      </c>
      <c r="E24" s="17" t="inlineStr">
        <is>
          <t>Non précisée dans la source</t>
        </is>
      </c>
      <c r="F24" s="17" t="inlineStr">
        <is>
          <t>Cartouche/toner HP — HP150A (couleur à préciser)</t>
        </is>
      </c>
      <c r="G24" s="16" t="inlineStr">
        <is>
          <t>Original (selon votre confirmation)</t>
        </is>
      </c>
      <c r="H24" s="18" t="n">
        <v>9000</v>
      </c>
      <c r="I24" s="18" t="n"/>
      <c r="J24" s="19" t="n"/>
      <c r="K24" s="18" t="n"/>
      <c r="L24" s="17" t="n"/>
      <c r="M24" s="21">
        <f>IF(OR(J24="",H24=""),"",J24-H24)</f>
        <v/>
      </c>
      <c r="N24" s="22">
        <f>IF(OR(J24="",H24="",J24=0),"",M24/J24)</f>
        <v/>
      </c>
      <c r="O24" s="23" t="n"/>
      <c r="P24" s="24">
        <f>SUMIF('Réceptions'!$C$5:$C$504,$B24,'Réceptions'!$E$5:$E$504)</f>
        <v/>
      </c>
      <c r="Q24" s="24">
        <f>SUMIF('Ventes'!$D$5:$D$504,$B24,'Ventes'!$F$5:$F$504)</f>
        <v/>
      </c>
      <c r="R24" s="24">
        <f>IF(O24="","",O24+P24-Q24)</f>
        <v/>
      </c>
      <c r="S24" s="17" t="inlineStr">
        <is>
          <t>Prix de vente et stock initial à compléter.</t>
        </is>
      </c>
      <c r="T24" s="17" t="inlineStr">
        <is>
          <t>n°20 p.1</t>
        </is>
      </c>
    </row>
    <row r="25" ht="34" customHeight="1">
      <c r="A25" s="14" t="inlineStr">
        <is>
          <t>Ouvrir photo</t>
        </is>
      </c>
      <c r="B25" s="15" t="inlineStr">
        <is>
          <t>HP151A</t>
        </is>
      </c>
      <c r="C25" s="16" t="inlineStr">
        <is>
          <t>HP</t>
        </is>
      </c>
      <c r="D25" s="17" t="inlineStr">
        <is>
          <t>Cartouche / toner imprimante</t>
        </is>
      </c>
      <c r="E25" s="17" t="inlineStr">
        <is>
          <t>Non précisée dans la source</t>
        </is>
      </c>
      <c r="F25" s="17" t="inlineStr">
        <is>
          <t>Cartouche/toner HP — HP151A (couleur à préciser)</t>
        </is>
      </c>
      <c r="G25" s="16" t="inlineStr">
        <is>
          <t>Original (selon votre confirmation)</t>
        </is>
      </c>
      <c r="H25" s="18" t="n">
        <v>14000</v>
      </c>
      <c r="I25" s="18" t="n"/>
      <c r="J25" s="19" t="n"/>
      <c r="K25" s="18" t="n"/>
      <c r="L25" s="17" t="n"/>
      <c r="M25" s="21">
        <f>IF(OR(J25="",H25=""),"",J25-H25)</f>
        <v/>
      </c>
      <c r="N25" s="22">
        <f>IF(OR(J25="",H25="",J25=0),"",M25/J25)</f>
        <v/>
      </c>
      <c r="O25" s="23" t="n"/>
      <c r="P25" s="24">
        <f>SUMIF('Réceptions'!$C$5:$C$504,$B25,'Réceptions'!$E$5:$E$504)</f>
        <v/>
      </c>
      <c r="Q25" s="24">
        <f>SUMIF('Ventes'!$D$5:$D$504,$B25,'Ventes'!$F$5:$F$504)</f>
        <v/>
      </c>
      <c r="R25" s="24">
        <f>IF(O25="","",O25+P25-Q25)</f>
        <v/>
      </c>
      <c r="S25" s="17" t="inlineStr">
        <is>
          <t>Prix de vente et stock initial à compléter.</t>
        </is>
      </c>
      <c r="T25" s="17" t="inlineStr">
        <is>
          <t>n°21 p.1</t>
        </is>
      </c>
    </row>
    <row r="26" ht="34" customHeight="1">
      <c r="A26" s="14" t="inlineStr">
        <is>
          <t>Ouvrir photo</t>
        </is>
      </c>
      <c r="B26" s="15" t="inlineStr">
        <is>
          <t>HP59A</t>
        </is>
      </c>
      <c r="C26" s="16" t="inlineStr">
        <is>
          <t>HP</t>
        </is>
      </c>
      <c r="D26" s="17" t="inlineStr">
        <is>
          <t>Cartouche / toner imprimante</t>
        </is>
      </c>
      <c r="E26" s="17" t="inlineStr">
        <is>
          <t>Non précisée dans la source</t>
        </is>
      </c>
      <c r="F26" s="17" t="inlineStr">
        <is>
          <t>Cartouche/toner HP — HP59A (couleur à préciser)</t>
        </is>
      </c>
      <c r="G26" s="16" t="inlineStr">
        <is>
          <t>Original (selon votre confirmation)</t>
        </is>
      </c>
      <c r="H26" s="18" t="n">
        <v>15000</v>
      </c>
      <c r="I26" s="18" t="n"/>
      <c r="J26" s="19" t="n"/>
      <c r="K26" s="18" t="n"/>
      <c r="L26" s="17" t="n"/>
      <c r="M26" s="21">
        <f>IF(OR(J26="",H26=""),"",J26-H26)</f>
        <v/>
      </c>
      <c r="N26" s="22">
        <f>IF(OR(J26="",H26="",J26=0),"",M26/J26)</f>
        <v/>
      </c>
      <c r="O26" s="23" t="n"/>
      <c r="P26" s="24">
        <f>SUMIF('Réceptions'!$C$5:$C$504,$B26,'Réceptions'!$E$5:$E$504)</f>
        <v/>
      </c>
      <c r="Q26" s="24">
        <f>SUMIF('Ventes'!$D$5:$D$504,$B26,'Ventes'!$F$5:$F$504)</f>
        <v/>
      </c>
      <c r="R26" s="24">
        <f>IF(O26="","",O26+P26-Q26)</f>
        <v/>
      </c>
      <c r="S26" s="17" t="inlineStr">
        <is>
          <t>Prix de vente et stock initial à compléter.</t>
        </is>
      </c>
      <c r="T26" s="17" t="inlineStr">
        <is>
          <t>n°22 p.1</t>
        </is>
      </c>
    </row>
    <row r="27" ht="34" customHeight="1">
      <c r="A27" s="14" t="inlineStr">
        <is>
          <t>Ouvrir photo</t>
        </is>
      </c>
      <c r="B27" s="15" t="inlineStr">
        <is>
          <t>HP205N</t>
        </is>
      </c>
      <c r="C27" s="16" t="inlineStr">
        <is>
          <t>HP</t>
        </is>
      </c>
      <c r="D27" s="17" t="inlineStr">
        <is>
          <t>Cartouche / toner imprimante</t>
        </is>
      </c>
      <c r="E27" s="17" t="inlineStr">
        <is>
          <t>Noir (suffixe N à confirmer)</t>
        </is>
      </c>
      <c r="F27" s="17" t="inlineStr">
        <is>
          <t>Cartouche/toner HP — HP205N (noir)</t>
        </is>
      </c>
      <c r="G27" s="16" t="inlineStr">
        <is>
          <t>Original (selon votre confirmation)</t>
        </is>
      </c>
      <c r="H27" s="18" t="n">
        <v>7500</v>
      </c>
      <c r="I27" s="18" t="n"/>
      <c r="J27" s="19" t="n"/>
      <c r="K27" s="20" t="n">
        <v>45000</v>
      </c>
      <c r="L27" s="17" t="inlineStr">
        <is>
          <t>INF-007 — HP 205A noir / CF530A; famille proche, à confirmer</t>
        </is>
      </c>
      <c r="M27" s="21">
        <f>IF(OR(J27="",H27=""),"",J27-H27)</f>
        <v/>
      </c>
      <c r="N27" s="22">
        <f>IF(OR(J27="",H27="",J27=0),"",M27/J27)</f>
        <v/>
      </c>
      <c r="O27" s="23" t="n"/>
      <c r="P27" s="24">
        <f>SUMIF('Réceptions'!$C$5:$C$504,$B27,'Réceptions'!$E$5:$E$504)</f>
        <v/>
      </c>
      <c r="Q27" s="24">
        <f>SUMIF('Ventes'!$D$5:$D$504,$B27,'Ventes'!$F$5:$F$504)</f>
        <v/>
      </c>
      <c r="R27" s="24">
        <f>IF(O27="","",O27+P27-Q27)</f>
        <v/>
      </c>
      <c r="S27" s="25" t="inlineStr">
        <is>
          <t>Écart très marqué entre coût d’achat et tarif de vente catalogue ESS; confirmer SKU et authenticité avant de publier un prix « original ».</t>
        </is>
      </c>
      <c r="T27" s="17" t="inlineStr">
        <is>
          <t>n°23 p.1</t>
        </is>
      </c>
    </row>
    <row r="28" ht="34" customHeight="1">
      <c r="A28" s="14" t="inlineStr">
        <is>
          <t>Ouvrir photo</t>
        </is>
      </c>
      <c r="B28" s="15" t="inlineStr">
        <is>
          <t>HP205C</t>
        </is>
      </c>
      <c r="C28" s="16" t="inlineStr">
        <is>
          <t>HP</t>
        </is>
      </c>
      <c r="D28" s="17" t="inlineStr">
        <is>
          <t>Cartouche / toner imprimante</t>
        </is>
      </c>
      <c r="E28" s="17" t="inlineStr">
        <is>
          <t>Cyan/couleur (suffixe C à confirmer)</t>
        </is>
      </c>
      <c r="F28" s="17" t="inlineStr">
        <is>
          <t>Cartouche/toner HP — HP205C (cyan / couleur)</t>
        </is>
      </c>
      <c r="G28" s="16" t="inlineStr">
        <is>
          <t>Original (selon votre confirmation)</t>
        </is>
      </c>
      <c r="H28" s="18" t="n">
        <v>7500</v>
      </c>
      <c r="I28" s="18" t="n"/>
      <c r="J28" s="19" t="n"/>
      <c r="K28" s="18" t="n"/>
      <c r="L28" s="17" t="n"/>
      <c r="M28" s="21">
        <f>IF(OR(J28="",H28=""),"",J28-H28)</f>
        <v/>
      </c>
      <c r="N28" s="22">
        <f>IF(OR(J28="",H28="",J28=0),"",M28/J28)</f>
        <v/>
      </c>
      <c r="O28" s="23" t="n"/>
      <c r="P28" s="24">
        <f>SUMIF('Réceptions'!$C$5:$C$504,$B28,'Réceptions'!$E$5:$E$504)</f>
        <v/>
      </c>
      <c r="Q28" s="24">
        <f>SUMIF('Ventes'!$D$5:$D$504,$B28,'Ventes'!$F$5:$F$504)</f>
        <v/>
      </c>
      <c r="R28" s="24">
        <f>IF(O28="","",O28+P28-Q28)</f>
        <v/>
      </c>
      <c r="S28" s="17" t="inlineStr">
        <is>
          <t>Prix de vente et stock initial à compléter.</t>
        </is>
      </c>
      <c r="T28" s="17" t="inlineStr">
        <is>
          <t>n°24 p.1</t>
        </is>
      </c>
    </row>
    <row r="29" ht="34" customHeight="1">
      <c r="A29" s="14" t="inlineStr">
        <is>
          <t>Ouvrir photo</t>
        </is>
      </c>
      <c r="B29" s="15" t="inlineStr">
        <is>
          <t>HP203N</t>
        </is>
      </c>
      <c r="C29" s="16" t="inlineStr">
        <is>
          <t>HP</t>
        </is>
      </c>
      <c r="D29" s="17" t="inlineStr">
        <is>
          <t>Cartouche / toner imprimante</t>
        </is>
      </c>
      <c r="E29" s="17" t="inlineStr">
        <is>
          <t>Noir (suffixe N à confirmer)</t>
        </is>
      </c>
      <c r="F29" s="17" t="inlineStr">
        <is>
          <t>Cartouche/toner HP — HP203N (noir)</t>
        </is>
      </c>
      <c r="G29" s="16" t="inlineStr">
        <is>
          <t>Original (selon votre confirmation)</t>
        </is>
      </c>
      <c r="H29" s="18" t="n">
        <v>7500</v>
      </c>
      <c r="I29" s="18" t="n"/>
      <c r="J29" s="19" t="n"/>
      <c r="K29" s="20" t="n">
        <v>52000</v>
      </c>
      <c r="L29" s="17" t="inlineStr">
        <is>
          <t>INF-006 — HP 203A noir / CF540A; famille proche, à confirmer</t>
        </is>
      </c>
      <c r="M29" s="21">
        <f>IF(OR(J29="",H29=""),"",J29-H29)</f>
        <v/>
      </c>
      <c r="N29" s="22">
        <f>IF(OR(J29="",H29="",J29=0),"",M29/J29)</f>
        <v/>
      </c>
      <c r="O29" s="23" t="n"/>
      <c r="P29" s="24">
        <f>SUMIF('Réceptions'!$C$5:$C$504,$B29,'Réceptions'!$E$5:$E$504)</f>
        <v/>
      </c>
      <c r="Q29" s="24">
        <f>SUMIF('Ventes'!$D$5:$D$504,$B29,'Ventes'!$F$5:$F$504)</f>
        <v/>
      </c>
      <c r="R29" s="24">
        <f>IF(O29="","",O29+P29-Q29)</f>
        <v/>
      </c>
      <c r="S29" s="25" t="inlineStr">
        <is>
          <t>Écart très marqué entre coût d’achat et tarif de vente catalogue ESS; confirmer SKU et authenticité avant de publier un prix « original ».</t>
        </is>
      </c>
      <c r="T29" s="17" t="inlineStr">
        <is>
          <t>n°25 p.1</t>
        </is>
      </c>
    </row>
    <row r="30" ht="34" customHeight="1">
      <c r="A30" s="14" t="inlineStr">
        <is>
          <t>Ouvrir photo</t>
        </is>
      </c>
      <c r="B30" s="15" t="inlineStr">
        <is>
          <t>HP203C</t>
        </is>
      </c>
      <c r="C30" s="16" t="inlineStr">
        <is>
          <t>HP</t>
        </is>
      </c>
      <c r="D30" s="17" t="inlineStr">
        <is>
          <t>Cartouche / toner imprimante</t>
        </is>
      </c>
      <c r="E30" s="17" t="inlineStr">
        <is>
          <t>Cyan/couleur (suffixe C à confirmer)</t>
        </is>
      </c>
      <c r="F30" s="17" t="inlineStr">
        <is>
          <t>Cartouche/toner HP — HP203C (cyan / couleur)</t>
        </is>
      </c>
      <c r="G30" s="16" t="inlineStr">
        <is>
          <t>Original (selon votre confirmation)</t>
        </is>
      </c>
      <c r="H30" s="18" t="n">
        <v>7500</v>
      </c>
      <c r="I30" s="18" t="n"/>
      <c r="J30" s="19" t="n"/>
      <c r="K30" s="18" t="n"/>
      <c r="L30" s="17" t="n"/>
      <c r="M30" s="21">
        <f>IF(OR(J30="",H30=""),"",J30-H30)</f>
        <v/>
      </c>
      <c r="N30" s="22">
        <f>IF(OR(J30="",H30="",J30=0),"",M30/J30)</f>
        <v/>
      </c>
      <c r="O30" s="23" t="n"/>
      <c r="P30" s="24">
        <f>SUMIF('Réceptions'!$C$5:$C$504,$B30,'Réceptions'!$E$5:$E$504)</f>
        <v/>
      </c>
      <c r="Q30" s="24">
        <f>SUMIF('Ventes'!$D$5:$D$504,$B30,'Ventes'!$F$5:$F$504)</f>
        <v/>
      </c>
      <c r="R30" s="24">
        <f>IF(O30="","",O30+P30-Q30)</f>
        <v/>
      </c>
      <c r="S30" s="17" t="inlineStr">
        <is>
          <t>Prix de vente et stock initial à compléter.</t>
        </is>
      </c>
      <c r="T30" s="17" t="inlineStr">
        <is>
          <t>n°26 p.1</t>
        </is>
      </c>
    </row>
    <row r="31" ht="34" customHeight="1">
      <c r="A31" s="14" t="inlineStr">
        <is>
          <t>Ouvrir photo</t>
        </is>
      </c>
      <c r="B31" s="15" t="inlineStr">
        <is>
          <t>HP206N</t>
        </is>
      </c>
      <c r="C31" s="16" t="inlineStr">
        <is>
          <t>HP</t>
        </is>
      </c>
      <c r="D31" s="17" t="inlineStr">
        <is>
          <t>Cartouche / toner imprimante</t>
        </is>
      </c>
      <c r="E31" s="17" t="inlineStr">
        <is>
          <t>Noir (suffixe N à confirmer)</t>
        </is>
      </c>
      <c r="F31" s="17" t="inlineStr">
        <is>
          <t>Cartouche/toner HP — HP206N (noir)</t>
        </is>
      </c>
      <c r="G31" s="16" t="inlineStr">
        <is>
          <t>Original (selon votre confirmation)</t>
        </is>
      </c>
      <c r="H31" s="18" t="n">
        <v>14000</v>
      </c>
      <c r="I31" s="18" t="n"/>
      <c r="J31" s="19" t="n"/>
      <c r="K31" s="18" t="n"/>
      <c r="L31" s="17" t="n"/>
      <c r="M31" s="21">
        <f>IF(OR(J31="",H31=""),"",J31-H31)</f>
        <v/>
      </c>
      <c r="N31" s="22">
        <f>IF(OR(J31="",H31="",J31=0),"",M31/J31)</f>
        <v/>
      </c>
      <c r="O31" s="23" t="n"/>
      <c r="P31" s="24">
        <f>SUMIF('Réceptions'!$C$5:$C$504,$B31,'Réceptions'!$E$5:$E$504)</f>
        <v/>
      </c>
      <c r="Q31" s="24">
        <f>SUMIF('Ventes'!$D$5:$D$504,$B31,'Ventes'!$F$5:$F$504)</f>
        <v/>
      </c>
      <c r="R31" s="24">
        <f>IF(O31="","",O31+P31-Q31)</f>
        <v/>
      </c>
      <c r="S31" s="17" t="inlineStr">
        <is>
          <t>Prix de vente et stock initial à compléter.</t>
        </is>
      </c>
      <c r="T31" s="17" t="inlineStr">
        <is>
          <t>n°27 p.1</t>
        </is>
      </c>
    </row>
    <row r="32" ht="34" customHeight="1">
      <c r="A32" s="14" t="inlineStr">
        <is>
          <t>Ouvrir photo</t>
        </is>
      </c>
      <c r="B32" s="15" t="inlineStr">
        <is>
          <t>HP206C</t>
        </is>
      </c>
      <c r="C32" s="16" t="inlineStr">
        <is>
          <t>HP</t>
        </is>
      </c>
      <c r="D32" s="17" t="inlineStr">
        <is>
          <t>Cartouche / toner imprimante</t>
        </is>
      </c>
      <c r="E32" s="17" t="inlineStr">
        <is>
          <t>Cyan/couleur (suffixe C à confirmer)</t>
        </is>
      </c>
      <c r="F32" s="17" t="inlineStr">
        <is>
          <t>Cartouche/toner HP — HP206C (cyan / couleur)</t>
        </is>
      </c>
      <c r="G32" s="16" t="inlineStr">
        <is>
          <t>Original (selon votre confirmation)</t>
        </is>
      </c>
      <c r="H32" s="18" t="n">
        <v>14000</v>
      </c>
      <c r="I32" s="18" t="n"/>
      <c r="J32" s="19" t="n"/>
      <c r="K32" s="18" t="n"/>
      <c r="L32" s="17" t="n"/>
      <c r="M32" s="21">
        <f>IF(OR(J32="",H32=""),"",J32-H32)</f>
        <v/>
      </c>
      <c r="N32" s="22">
        <f>IF(OR(J32="",H32="",J32=0),"",M32/J32)</f>
        <v/>
      </c>
      <c r="O32" s="23" t="n"/>
      <c r="P32" s="24">
        <f>SUMIF('Réceptions'!$C$5:$C$504,$B32,'Réceptions'!$E$5:$E$504)</f>
        <v/>
      </c>
      <c r="Q32" s="24">
        <f>SUMIF('Ventes'!$D$5:$D$504,$B32,'Ventes'!$F$5:$F$504)</f>
        <v/>
      </c>
      <c r="R32" s="24">
        <f>IF(O32="","",O32+P32-Q32)</f>
        <v/>
      </c>
      <c r="S32" s="17" t="inlineStr">
        <is>
          <t>Prix de vente et stock initial à compléter.</t>
        </is>
      </c>
      <c r="T32" s="17" t="inlineStr">
        <is>
          <t>n°28 p.1</t>
        </is>
      </c>
    </row>
    <row r="33" ht="34" customHeight="1">
      <c r="A33" s="14" t="inlineStr">
        <is>
          <t>Ouvrir photo</t>
        </is>
      </c>
      <c r="B33" s="15" t="inlineStr">
        <is>
          <t>HP207N</t>
        </is>
      </c>
      <c r="C33" s="16" t="inlineStr">
        <is>
          <t>HP</t>
        </is>
      </c>
      <c r="D33" s="17" t="inlineStr">
        <is>
          <t>Cartouche / toner imprimante</t>
        </is>
      </c>
      <c r="E33" s="17" t="inlineStr">
        <is>
          <t>Noir (suffixe N à confirmer)</t>
        </is>
      </c>
      <c r="F33" s="17" t="inlineStr">
        <is>
          <t>Cartouche/toner HP — HP207N (noir)</t>
        </is>
      </c>
      <c r="G33" s="16" t="inlineStr">
        <is>
          <t>Original (selon votre confirmation)</t>
        </is>
      </c>
      <c r="H33" s="18" t="n">
        <v>13000</v>
      </c>
      <c r="I33" s="18" t="n"/>
      <c r="J33" s="19" t="n"/>
      <c r="K33" s="18" t="n"/>
      <c r="L33" s="17" t="n"/>
      <c r="M33" s="21">
        <f>IF(OR(J33="",H33=""),"",J33-H33)</f>
        <v/>
      </c>
      <c r="N33" s="22">
        <f>IF(OR(J33="",H33="",J33=0),"",M33/J33)</f>
        <v/>
      </c>
      <c r="O33" s="23" t="n"/>
      <c r="P33" s="24">
        <f>SUMIF('Réceptions'!$C$5:$C$504,$B33,'Réceptions'!$E$5:$E$504)</f>
        <v/>
      </c>
      <c r="Q33" s="24">
        <f>SUMIF('Ventes'!$D$5:$D$504,$B33,'Ventes'!$F$5:$F$504)</f>
        <v/>
      </c>
      <c r="R33" s="24">
        <f>IF(O33="","",O33+P33-Q33)</f>
        <v/>
      </c>
      <c r="S33" s="17" t="inlineStr">
        <is>
          <t>Prix de vente et stock initial à compléter.</t>
        </is>
      </c>
      <c r="T33" s="17" t="inlineStr">
        <is>
          <t>n°29 p.1</t>
        </is>
      </c>
    </row>
    <row r="34" ht="34" customHeight="1">
      <c r="A34" s="14" t="inlineStr">
        <is>
          <t>Ouvrir photo</t>
        </is>
      </c>
      <c r="B34" s="15" t="inlineStr">
        <is>
          <t>HP207C</t>
        </is>
      </c>
      <c r="C34" s="16" t="inlineStr">
        <is>
          <t>HP</t>
        </is>
      </c>
      <c r="D34" s="17" t="inlineStr">
        <is>
          <t>Cartouche / toner imprimante</t>
        </is>
      </c>
      <c r="E34" s="17" t="inlineStr">
        <is>
          <t>Cyan/couleur (suffixe C à confirmer)</t>
        </is>
      </c>
      <c r="F34" s="17" t="inlineStr">
        <is>
          <t>Cartouche/toner HP — HP207C (cyan / couleur)</t>
        </is>
      </c>
      <c r="G34" s="16" t="inlineStr">
        <is>
          <t>Original (selon votre confirmation)</t>
        </is>
      </c>
      <c r="H34" s="18" t="n">
        <v>13000</v>
      </c>
      <c r="I34" s="18" t="n"/>
      <c r="J34" s="19" t="n"/>
      <c r="K34" s="18" t="n"/>
      <c r="L34" s="17" t="n"/>
      <c r="M34" s="21">
        <f>IF(OR(J34="",H34=""),"",J34-H34)</f>
        <v/>
      </c>
      <c r="N34" s="22">
        <f>IF(OR(J34="",H34="",J34=0),"",M34/J34)</f>
        <v/>
      </c>
      <c r="O34" s="23" t="n"/>
      <c r="P34" s="24">
        <f>SUMIF('Réceptions'!$C$5:$C$504,$B34,'Réceptions'!$E$5:$E$504)</f>
        <v/>
      </c>
      <c r="Q34" s="24">
        <f>SUMIF('Ventes'!$D$5:$D$504,$B34,'Ventes'!$F$5:$F$504)</f>
        <v/>
      </c>
      <c r="R34" s="24">
        <f>IF(O34="","",O34+P34-Q34)</f>
        <v/>
      </c>
      <c r="S34" s="17" t="inlineStr">
        <is>
          <t>Prix de vente et stock initial à compléter.</t>
        </is>
      </c>
      <c r="T34" s="17" t="inlineStr">
        <is>
          <t>n°30 p.1</t>
        </is>
      </c>
    </row>
    <row r="35" ht="34" customHeight="1">
      <c r="A35" s="14" t="inlineStr">
        <is>
          <t>Ouvrir photo</t>
        </is>
      </c>
      <c r="B35" s="15" t="inlineStr">
        <is>
          <t>HP216N</t>
        </is>
      </c>
      <c r="C35" s="16" t="inlineStr">
        <is>
          <t>HP</t>
        </is>
      </c>
      <c r="D35" s="17" t="inlineStr">
        <is>
          <t>Cartouche / toner imprimante</t>
        </is>
      </c>
      <c r="E35" s="17" t="inlineStr">
        <is>
          <t>Noir (suffixe N à confirmer)</t>
        </is>
      </c>
      <c r="F35" s="17" t="inlineStr">
        <is>
          <t>Cartouche/toner HP — HP216N (noir)</t>
        </is>
      </c>
      <c r="G35" s="16" t="inlineStr">
        <is>
          <t>Original (selon votre confirmation)</t>
        </is>
      </c>
      <c r="H35" s="18" t="n">
        <v>11000</v>
      </c>
      <c r="I35" s="18" t="n"/>
      <c r="J35" s="19" t="n"/>
      <c r="K35" s="18" t="n"/>
      <c r="L35" s="17" t="n"/>
      <c r="M35" s="21">
        <f>IF(OR(J35="",H35=""),"",J35-H35)</f>
        <v/>
      </c>
      <c r="N35" s="22">
        <f>IF(OR(J35="",H35="",J35=0),"",M35/J35)</f>
        <v/>
      </c>
      <c r="O35" s="23" t="n"/>
      <c r="P35" s="24">
        <f>SUMIF('Réceptions'!$C$5:$C$504,$B35,'Réceptions'!$E$5:$E$504)</f>
        <v/>
      </c>
      <c r="Q35" s="24">
        <f>SUMIF('Ventes'!$D$5:$D$504,$B35,'Ventes'!$F$5:$F$504)</f>
        <v/>
      </c>
      <c r="R35" s="24">
        <f>IF(O35="","",O35+P35-Q35)</f>
        <v/>
      </c>
      <c r="S35" s="17" t="inlineStr">
        <is>
          <t>Prix de vente et stock initial à compléter.</t>
        </is>
      </c>
      <c r="T35" s="17" t="inlineStr">
        <is>
          <t>n°31 p.1</t>
        </is>
      </c>
    </row>
    <row r="36" ht="34" customHeight="1">
      <c r="A36" s="14" t="inlineStr">
        <is>
          <t>Ouvrir photo</t>
        </is>
      </c>
      <c r="B36" s="15" t="inlineStr">
        <is>
          <t>HP216C</t>
        </is>
      </c>
      <c r="C36" s="16" t="inlineStr">
        <is>
          <t>HP</t>
        </is>
      </c>
      <c r="D36" s="17" t="inlineStr">
        <is>
          <t>Cartouche / toner imprimante</t>
        </is>
      </c>
      <c r="E36" s="17" t="inlineStr">
        <is>
          <t>Cyan/couleur (suffixe C à confirmer)</t>
        </is>
      </c>
      <c r="F36" s="17" t="inlineStr">
        <is>
          <t>Cartouche/toner HP — HP216C (cyan / couleur)</t>
        </is>
      </c>
      <c r="G36" s="16" t="inlineStr">
        <is>
          <t>Original (selon votre confirmation)</t>
        </is>
      </c>
      <c r="H36" s="18" t="n">
        <v>11000</v>
      </c>
      <c r="I36" s="18" t="n"/>
      <c r="J36" s="19" t="n"/>
      <c r="K36" s="18" t="n"/>
      <c r="L36" s="17" t="n"/>
      <c r="M36" s="21">
        <f>IF(OR(J36="",H36=""),"",J36-H36)</f>
        <v/>
      </c>
      <c r="N36" s="22">
        <f>IF(OR(J36="",H36="",J36=0),"",M36/J36)</f>
        <v/>
      </c>
      <c r="O36" s="23" t="n"/>
      <c r="P36" s="24">
        <f>SUMIF('Réceptions'!$C$5:$C$504,$B36,'Réceptions'!$E$5:$E$504)</f>
        <v/>
      </c>
      <c r="Q36" s="24">
        <f>SUMIF('Ventes'!$D$5:$D$504,$B36,'Ventes'!$F$5:$F$504)</f>
        <v/>
      </c>
      <c r="R36" s="24">
        <f>IF(O36="","",O36+P36-Q36)</f>
        <v/>
      </c>
      <c r="S36" s="17" t="inlineStr">
        <is>
          <t>Prix de vente et stock initial à compléter.</t>
        </is>
      </c>
      <c r="T36" s="17" t="inlineStr">
        <is>
          <t>n°32 p.1</t>
        </is>
      </c>
    </row>
    <row r="37" ht="34" customHeight="1">
      <c r="A37" s="14" t="inlineStr">
        <is>
          <t>Ouvrir photo</t>
        </is>
      </c>
      <c r="B37" s="15" t="inlineStr">
        <is>
          <t>HP230N</t>
        </is>
      </c>
      <c r="C37" s="16" t="inlineStr">
        <is>
          <t>HP</t>
        </is>
      </c>
      <c r="D37" s="17" t="inlineStr">
        <is>
          <t>Cartouche / toner imprimante</t>
        </is>
      </c>
      <c r="E37" s="17" t="inlineStr">
        <is>
          <t>Noir (suffixe N à confirmer)</t>
        </is>
      </c>
      <c r="F37" s="17" t="inlineStr">
        <is>
          <t>Cartouche/toner HP — HP230N (noir)</t>
        </is>
      </c>
      <c r="G37" s="16" t="inlineStr">
        <is>
          <t>Original (selon votre confirmation)</t>
        </is>
      </c>
      <c r="H37" s="18" t="n">
        <v>18000</v>
      </c>
      <c r="I37" s="18" t="n"/>
      <c r="J37" s="19" t="n"/>
      <c r="K37" s="18" t="n"/>
      <c r="L37" s="17" t="n"/>
      <c r="M37" s="21">
        <f>IF(OR(J37="",H37=""),"",J37-H37)</f>
        <v/>
      </c>
      <c r="N37" s="22">
        <f>IF(OR(J37="",H37="",J37=0),"",M37/J37)</f>
        <v/>
      </c>
      <c r="O37" s="23" t="n"/>
      <c r="P37" s="24">
        <f>SUMIF('Réceptions'!$C$5:$C$504,$B37,'Réceptions'!$E$5:$E$504)</f>
        <v/>
      </c>
      <c r="Q37" s="24">
        <f>SUMIF('Ventes'!$D$5:$D$504,$B37,'Ventes'!$F$5:$F$504)</f>
        <v/>
      </c>
      <c r="R37" s="24">
        <f>IF(O37="","",O37+P37-Q37)</f>
        <v/>
      </c>
      <c r="S37" s="17" t="inlineStr">
        <is>
          <t>Prix de vente et stock initial à compléter.</t>
        </is>
      </c>
      <c r="T37" s="17" t="inlineStr">
        <is>
          <t>n°33 p.1</t>
        </is>
      </c>
    </row>
    <row r="38" ht="34" customHeight="1">
      <c r="A38" s="14" t="inlineStr">
        <is>
          <t>Ouvrir photo</t>
        </is>
      </c>
      <c r="B38" s="15" t="inlineStr">
        <is>
          <t>HP230C</t>
        </is>
      </c>
      <c r="C38" s="16" t="inlineStr">
        <is>
          <t>HP</t>
        </is>
      </c>
      <c r="D38" s="17" t="inlineStr">
        <is>
          <t>Cartouche / toner imprimante</t>
        </is>
      </c>
      <c r="E38" s="17" t="inlineStr">
        <is>
          <t>Cyan/couleur (suffixe C à confirmer)</t>
        </is>
      </c>
      <c r="F38" s="17" t="inlineStr">
        <is>
          <t>Cartouche/toner HP — HP230C (cyan / couleur)</t>
        </is>
      </c>
      <c r="G38" s="16" t="inlineStr">
        <is>
          <t>Original (selon votre confirmation)</t>
        </is>
      </c>
      <c r="H38" s="18" t="n">
        <v>18000</v>
      </c>
      <c r="I38" s="18" t="n"/>
      <c r="J38" s="19" t="n"/>
      <c r="K38" s="18" t="n"/>
      <c r="L38" s="17" t="n"/>
      <c r="M38" s="21">
        <f>IF(OR(J38="",H38=""),"",J38-H38)</f>
        <v/>
      </c>
      <c r="N38" s="22">
        <f>IF(OR(J38="",H38="",J38=0),"",M38/J38)</f>
        <v/>
      </c>
      <c r="O38" s="23" t="n"/>
      <c r="P38" s="24">
        <f>SUMIF('Réceptions'!$C$5:$C$504,$B38,'Réceptions'!$E$5:$E$504)</f>
        <v/>
      </c>
      <c r="Q38" s="24">
        <f>SUMIF('Ventes'!$D$5:$D$504,$B38,'Ventes'!$F$5:$F$504)</f>
        <v/>
      </c>
      <c r="R38" s="24">
        <f>IF(O38="","",O38+P38-Q38)</f>
        <v/>
      </c>
      <c r="S38" s="17" t="inlineStr">
        <is>
          <t>Prix de vente et stock initial à compléter.</t>
        </is>
      </c>
      <c r="T38" s="17" t="inlineStr">
        <is>
          <t>n°34 p.1</t>
        </is>
      </c>
    </row>
    <row r="39" ht="34" customHeight="1">
      <c r="A39" s="14" t="inlineStr">
        <is>
          <t>Ouvrir photo</t>
        </is>
      </c>
      <c r="B39" s="15" t="inlineStr">
        <is>
          <t>HP222N</t>
        </is>
      </c>
      <c r="C39" s="16" t="inlineStr">
        <is>
          <t>HP</t>
        </is>
      </c>
      <c r="D39" s="17" t="inlineStr">
        <is>
          <t>Cartouche / toner imprimante</t>
        </is>
      </c>
      <c r="E39" s="17" t="inlineStr">
        <is>
          <t>Noir (suffixe N à confirmer)</t>
        </is>
      </c>
      <c r="F39" s="17" t="inlineStr">
        <is>
          <t>Cartouche/toner HP — HP222N (noir)</t>
        </is>
      </c>
      <c r="G39" s="16" t="inlineStr">
        <is>
          <t>Original (selon votre confirmation)</t>
        </is>
      </c>
      <c r="H39" s="18" t="n">
        <v>18000</v>
      </c>
      <c r="I39" s="18" t="n"/>
      <c r="J39" s="19" t="n"/>
      <c r="K39" s="18" t="n"/>
      <c r="L39" s="17" t="n"/>
      <c r="M39" s="21">
        <f>IF(OR(J39="",H39=""),"",J39-H39)</f>
        <v/>
      </c>
      <c r="N39" s="22">
        <f>IF(OR(J39="",H39="",J39=0),"",M39/J39)</f>
        <v/>
      </c>
      <c r="O39" s="23" t="n"/>
      <c r="P39" s="24">
        <f>SUMIF('Réceptions'!$C$5:$C$504,$B39,'Réceptions'!$E$5:$E$504)</f>
        <v/>
      </c>
      <c r="Q39" s="24">
        <f>SUMIF('Ventes'!$D$5:$D$504,$B39,'Ventes'!$F$5:$F$504)</f>
        <v/>
      </c>
      <c r="R39" s="24">
        <f>IF(O39="","",O39+P39-Q39)</f>
        <v/>
      </c>
      <c r="S39" s="17" t="inlineStr">
        <is>
          <t>Prix de vente et stock initial à compléter.</t>
        </is>
      </c>
      <c r="T39" s="17" t="inlineStr">
        <is>
          <t>n°35 p.1</t>
        </is>
      </c>
    </row>
    <row r="40" ht="34" customHeight="1">
      <c r="A40" s="14" t="inlineStr">
        <is>
          <t>Ouvrir photo</t>
        </is>
      </c>
      <c r="B40" s="15" t="inlineStr">
        <is>
          <t>HP222C</t>
        </is>
      </c>
      <c r="C40" s="16" t="inlineStr">
        <is>
          <t>HP</t>
        </is>
      </c>
      <c r="D40" s="17" t="inlineStr">
        <is>
          <t>Cartouche / toner imprimante</t>
        </is>
      </c>
      <c r="E40" s="17" t="inlineStr">
        <is>
          <t>Cyan/couleur (suffixe C à confirmer)</t>
        </is>
      </c>
      <c r="F40" s="17" t="inlineStr">
        <is>
          <t>Cartouche/toner HP — HP222C (cyan / couleur)</t>
        </is>
      </c>
      <c r="G40" s="16" t="inlineStr">
        <is>
          <t>Original (selon votre confirmation)</t>
        </is>
      </c>
      <c r="H40" s="18" t="n">
        <v>18000</v>
      </c>
      <c r="I40" s="18" t="n"/>
      <c r="J40" s="19" t="n"/>
      <c r="K40" s="18" t="n"/>
      <c r="L40" s="17" t="n"/>
      <c r="M40" s="21">
        <f>IF(OR(J40="",H40=""),"",J40-H40)</f>
        <v/>
      </c>
      <c r="N40" s="22">
        <f>IF(OR(J40="",H40="",J40=0),"",M40/J40)</f>
        <v/>
      </c>
      <c r="O40" s="23" t="n"/>
      <c r="P40" s="24">
        <f>SUMIF('Réceptions'!$C$5:$C$504,$B40,'Réceptions'!$E$5:$E$504)</f>
        <v/>
      </c>
      <c r="Q40" s="24">
        <f>SUMIF('Ventes'!$D$5:$D$504,$B40,'Ventes'!$F$5:$F$504)</f>
        <v/>
      </c>
      <c r="R40" s="24">
        <f>IF(O40="","",O40+P40-Q40)</f>
        <v/>
      </c>
      <c r="S40" s="17" t="inlineStr">
        <is>
          <t>Prix de vente et stock initial à compléter.</t>
        </is>
      </c>
      <c r="T40" s="17" t="inlineStr">
        <is>
          <t>n°36 p.1</t>
        </is>
      </c>
    </row>
    <row r="41" ht="34" customHeight="1">
      <c r="A41" s="14" t="inlineStr">
        <is>
          <t>Ouvrir photo</t>
        </is>
      </c>
      <c r="B41" s="15" t="inlineStr">
        <is>
          <t>HP125N</t>
        </is>
      </c>
      <c r="C41" s="16" t="inlineStr">
        <is>
          <t>HP</t>
        </is>
      </c>
      <c r="D41" s="17" t="inlineStr">
        <is>
          <t>Cartouche / toner imprimante</t>
        </is>
      </c>
      <c r="E41" s="17" t="inlineStr">
        <is>
          <t>Noir (suffixe N à confirmer)</t>
        </is>
      </c>
      <c r="F41" s="17" t="inlineStr">
        <is>
          <t>Cartouche/toner HP — HP125N (noir)</t>
        </is>
      </c>
      <c r="G41" s="16" t="inlineStr">
        <is>
          <t>Original (selon votre confirmation)</t>
        </is>
      </c>
      <c r="H41" s="18" t="n">
        <v>7500</v>
      </c>
      <c r="I41" s="18" t="n"/>
      <c r="J41" s="19" t="n"/>
      <c r="K41" s="18" t="n"/>
      <c r="L41" s="17" t="n"/>
      <c r="M41" s="21">
        <f>IF(OR(J41="",H41=""),"",J41-H41)</f>
        <v/>
      </c>
      <c r="N41" s="22">
        <f>IF(OR(J41="",H41="",J41=0),"",M41/J41)</f>
        <v/>
      </c>
      <c r="O41" s="23" t="n"/>
      <c r="P41" s="24">
        <f>SUMIF('Réceptions'!$C$5:$C$504,$B41,'Réceptions'!$E$5:$E$504)</f>
        <v/>
      </c>
      <c r="Q41" s="24">
        <f>SUMIF('Ventes'!$D$5:$D$504,$B41,'Ventes'!$F$5:$F$504)</f>
        <v/>
      </c>
      <c r="R41" s="24">
        <f>IF(O41="","",O41+P41-Q41)</f>
        <v/>
      </c>
      <c r="S41" s="17" t="inlineStr">
        <is>
          <t>Prix de vente et stock initial à compléter.</t>
        </is>
      </c>
      <c r="T41" s="17" t="inlineStr">
        <is>
          <t>n°37 p.1</t>
        </is>
      </c>
    </row>
    <row r="42" ht="34" customHeight="1">
      <c r="A42" s="14" t="inlineStr">
        <is>
          <t>Ouvrir photo</t>
        </is>
      </c>
      <c r="B42" s="15" t="inlineStr">
        <is>
          <t>HP125C</t>
        </is>
      </c>
      <c r="C42" s="16" t="inlineStr">
        <is>
          <t>HP</t>
        </is>
      </c>
      <c r="D42" s="17" t="inlineStr">
        <is>
          <t>Cartouche / toner imprimante</t>
        </is>
      </c>
      <c r="E42" s="17" t="inlineStr">
        <is>
          <t>Cyan/couleur (suffixe C à confirmer)</t>
        </is>
      </c>
      <c r="F42" s="17" t="inlineStr">
        <is>
          <t>Cartouche/toner HP — HP125C (cyan / couleur)</t>
        </is>
      </c>
      <c r="G42" s="16" t="inlineStr">
        <is>
          <t>Original (selon votre confirmation)</t>
        </is>
      </c>
      <c r="H42" s="18" t="n">
        <v>7500</v>
      </c>
      <c r="I42" s="18" t="n"/>
      <c r="J42" s="19" t="n"/>
      <c r="K42" s="18" t="n"/>
      <c r="L42" s="17" t="n"/>
      <c r="M42" s="21">
        <f>IF(OR(J42="",H42=""),"",J42-H42)</f>
        <v/>
      </c>
      <c r="N42" s="22">
        <f>IF(OR(J42="",H42="",J42=0),"",M42/J42)</f>
        <v/>
      </c>
      <c r="O42" s="23" t="n"/>
      <c r="P42" s="24">
        <f>SUMIF('Réceptions'!$C$5:$C$504,$B42,'Réceptions'!$E$5:$E$504)</f>
        <v/>
      </c>
      <c r="Q42" s="24">
        <f>SUMIF('Ventes'!$D$5:$D$504,$B42,'Ventes'!$F$5:$F$504)</f>
        <v/>
      </c>
      <c r="R42" s="24">
        <f>IF(O42="","",O42+P42-Q42)</f>
        <v/>
      </c>
      <c r="S42" s="17" t="inlineStr">
        <is>
          <t>Prix de vente et stock initial à compléter.</t>
        </is>
      </c>
      <c r="T42" s="17" t="inlineStr">
        <is>
          <t>n°38 p.1</t>
        </is>
      </c>
    </row>
    <row r="43" ht="34" customHeight="1">
      <c r="A43" s="14" t="inlineStr">
        <is>
          <t>Ouvrir photo</t>
        </is>
      </c>
      <c r="B43" s="15" t="inlineStr">
        <is>
          <t>HP131N</t>
        </is>
      </c>
      <c r="C43" s="16" t="inlineStr">
        <is>
          <t>HP</t>
        </is>
      </c>
      <c r="D43" s="17" t="inlineStr">
        <is>
          <t>Cartouche / toner imprimante</t>
        </is>
      </c>
      <c r="E43" s="17" t="inlineStr">
        <is>
          <t>Noir (suffixe N à confirmer)</t>
        </is>
      </c>
      <c r="F43" s="17" t="inlineStr">
        <is>
          <t>Cartouche/toner HP — HP131N (noir)</t>
        </is>
      </c>
      <c r="G43" s="16" t="inlineStr">
        <is>
          <t>Original (selon votre confirmation)</t>
        </is>
      </c>
      <c r="H43" s="18" t="n">
        <v>7500</v>
      </c>
      <c r="I43" s="18" t="n"/>
      <c r="J43" s="19" t="n"/>
      <c r="K43" s="18" t="n"/>
      <c r="L43" s="17" t="n"/>
      <c r="M43" s="21">
        <f>IF(OR(J43="",H43=""),"",J43-H43)</f>
        <v/>
      </c>
      <c r="N43" s="22">
        <f>IF(OR(J43="",H43="",J43=0),"",M43/J43)</f>
        <v/>
      </c>
      <c r="O43" s="23" t="n"/>
      <c r="P43" s="24">
        <f>SUMIF('Réceptions'!$C$5:$C$504,$B43,'Réceptions'!$E$5:$E$504)</f>
        <v/>
      </c>
      <c r="Q43" s="24">
        <f>SUMIF('Ventes'!$D$5:$D$504,$B43,'Ventes'!$F$5:$F$504)</f>
        <v/>
      </c>
      <c r="R43" s="24">
        <f>IF(O43="","",O43+P43-Q43)</f>
        <v/>
      </c>
      <c r="S43" s="17" t="inlineStr">
        <is>
          <t>Référence répétée deux fois (n°39 et 45) au même prix; une seule fiche conservée.</t>
        </is>
      </c>
      <c r="T43" s="17" t="inlineStr">
        <is>
          <t>n°39 p.1; n°45 p.1</t>
        </is>
      </c>
    </row>
    <row r="44" ht="34" customHeight="1">
      <c r="A44" s="14" t="inlineStr">
        <is>
          <t>Ouvrir photo</t>
        </is>
      </c>
      <c r="B44" s="15" t="inlineStr">
        <is>
          <t>HP131C</t>
        </is>
      </c>
      <c r="C44" s="16" t="inlineStr">
        <is>
          <t>HP</t>
        </is>
      </c>
      <c r="D44" s="17" t="inlineStr">
        <is>
          <t>Cartouche / toner imprimante</t>
        </is>
      </c>
      <c r="E44" s="17" t="inlineStr">
        <is>
          <t>Cyan/couleur (suffixe C à confirmer)</t>
        </is>
      </c>
      <c r="F44" s="17" t="inlineStr">
        <is>
          <t>Cartouche/toner HP — HP131C (cyan / couleur)</t>
        </is>
      </c>
      <c r="G44" s="16" t="inlineStr">
        <is>
          <t>Original (selon votre confirmation)</t>
        </is>
      </c>
      <c r="H44" s="18" t="n">
        <v>7500</v>
      </c>
      <c r="I44" s="18" t="n"/>
      <c r="J44" s="19" t="n"/>
      <c r="K44" s="18" t="n"/>
      <c r="L44" s="17" t="n"/>
      <c r="M44" s="21">
        <f>IF(OR(J44="",H44=""),"",J44-H44)</f>
        <v/>
      </c>
      <c r="N44" s="22">
        <f>IF(OR(J44="",H44="",J44=0),"",M44/J44)</f>
        <v/>
      </c>
      <c r="O44" s="23" t="n"/>
      <c r="P44" s="24">
        <f>SUMIF('Réceptions'!$C$5:$C$504,$B44,'Réceptions'!$E$5:$E$504)</f>
        <v/>
      </c>
      <c r="Q44" s="24">
        <f>SUMIF('Ventes'!$D$5:$D$504,$B44,'Ventes'!$F$5:$F$504)</f>
        <v/>
      </c>
      <c r="R44" s="24">
        <f>IF(O44="","",O44+P44-Q44)</f>
        <v/>
      </c>
      <c r="S44" s="17" t="inlineStr">
        <is>
          <t>Référence répétée deux fois (n°40 et 46) au même prix; une seule fiche conservée.</t>
        </is>
      </c>
      <c r="T44" s="17" t="inlineStr">
        <is>
          <t>n°40 p.1; n°46 p.1</t>
        </is>
      </c>
    </row>
    <row r="45" ht="34" customHeight="1">
      <c r="A45" s="14" t="inlineStr">
        <is>
          <t>Ouvrir photo</t>
        </is>
      </c>
      <c r="B45" s="15" t="inlineStr">
        <is>
          <t>HP126N</t>
        </is>
      </c>
      <c r="C45" s="16" t="inlineStr">
        <is>
          <t>HP</t>
        </is>
      </c>
      <c r="D45" s="17" t="inlineStr">
        <is>
          <t>Cartouche / toner imprimante</t>
        </is>
      </c>
      <c r="E45" s="17" t="inlineStr">
        <is>
          <t>Noir (suffixe N à confirmer)</t>
        </is>
      </c>
      <c r="F45" s="17" t="inlineStr">
        <is>
          <t>Cartouche/toner HP — HP126N (noir)</t>
        </is>
      </c>
      <c r="G45" s="16" t="inlineStr">
        <is>
          <t>Original (selon votre confirmation)</t>
        </is>
      </c>
      <c r="H45" s="18" t="n">
        <v>7000</v>
      </c>
      <c r="I45" s="18" t="n"/>
      <c r="J45" s="19" t="n"/>
      <c r="K45" s="18" t="n"/>
      <c r="L45" s="17" t="n"/>
      <c r="M45" s="21">
        <f>IF(OR(J45="",H45=""),"",J45-H45)</f>
        <v/>
      </c>
      <c r="N45" s="22">
        <f>IF(OR(J45="",H45="",J45=0),"",M45/J45)</f>
        <v/>
      </c>
      <c r="O45" s="23" t="n"/>
      <c r="P45" s="24">
        <f>SUMIF('Réceptions'!$C$5:$C$504,$B45,'Réceptions'!$E$5:$E$504)</f>
        <v/>
      </c>
      <c r="Q45" s="24">
        <f>SUMIF('Ventes'!$D$5:$D$504,$B45,'Ventes'!$F$5:$F$504)</f>
        <v/>
      </c>
      <c r="R45" s="24">
        <f>IF(O45="","",O45+P45-Q45)</f>
        <v/>
      </c>
      <c r="S45" s="17" t="inlineStr">
        <is>
          <t>Prix de vente et stock initial à compléter.</t>
        </is>
      </c>
      <c r="T45" s="17" t="inlineStr">
        <is>
          <t>n°41 p.1</t>
        </is>
      </c>
    </row>
    <row r="46" ht="34" customHeight="1">
      <c r="A46" s="14" t="inlineStr">
        <is>
          <t>Ouvrir photo</t>
        </is>
      </c>
      <c r="B46" s="15" t="inlineStr">
        <is>
          <t>HP126C</t>
        </is>
      </c>
      <c r="C46" s="16" t="inlineStr">
        <is>
          <t>HP</t>
        </is>
      </c>
      <c r="D46" s="17" t="inlineStr">
        <is>
          <t>Cartouche / toner imprimante</t>
        </is>
      </c>
      <c r="E46" s="17" t="inlineStr">
        <is>
          <t>Cyan/couleur (suffixe C à confirmer)</t>
        </is>
      </c>
      <c r="F46" s="17" t="inlineStr">
        <is>
          <t>Cartouche/toner HP — HP126C (cyan / couleur)</t>
        </is>
      </c>
      <c r="G46" s="16" t="inlineStr">
        <is>
          <t>Original (selon votre confirmation)</t>
        </is>
      </c>
      <c r="H46" s="18" t="n">
        <v>7000</v>
      </c>
      <c r="I46" s="18" t="n"/>
      <c r="J46" s="19" t="n"/>
      <c r="K46" s="18" t="n"/>
      <c r="L46" s="17" t="n"/>
      <c r="M46" s="21">
        <f>IF(OR(J46="",H46=""),"",J46-H46)</f>
        <v/>
      </c>
      <c r="N46" s="22">
        <f>IF(OR(J46="",H46="",J46=0),"",M46/J46)</f>
        <v/>
      </c>
      <c r="O46" s="23" t="n"/>
      <c r="P46" s="24">
        <f>SUMIF('Réceptions'!$C$5:$C$504,$B46,'Réceptions'!$E$5:$E$504)</f>
        <v/>
      </c>
      <c r="Q46" s="24">
        <f>SUMIF('Ventes'!$D$5:$D$504,$B46,'Ventes'!$F$5:$F$504)</f>
        <v/>
      </c>
      <c r="R46" s="24">
        <f>IF(O46="","",O46+P46-Q46)</f>
        <v/>
      </c>
      <c r="S46" s="17" t="inlineStr">
        <is>
          <t>Prix de vente et stock initial à compléter.</t>
        </is>
      </c>
      <c r="T46" s="17" t="inlineStr">
        <is>
          <t>n°42 p.1</t>
        </is>
      </c>
    </row>
    <row r="47" ht="34" customHeight="1">
      <c r="A47" s="14" t="inlineStr">
        <is>
          <t>Ouvrir photo</t>
        </is>
      </c>
      <c r="B47" s="15" t="inlineStr">
        <is>
          <t>HP130N</t>
        </is>
      </c>
      <c r="C47" s="16" t="inlineStr">
        <is>
          <t>HP</t>
        </is>
      </c>
      <c r="D47" s="17" t="inlineStr">
        <is>
          <t>Cartouche / toner imprimante</t>
        </is>
      </c>
      <c r="E47" s="17" t="inlineStr">
        <is>
          <t>Noir (suffixe N à confirmer)</t>
        </is>
      </c>
      <c r="F47" s="17" t="inlineStr">
        <is>
          <t>Cartouche/toner HP — HP130N (noir)</t>
        </is>
      </c>
      <c r="G47" s="16" t="inlineStr">
        <is>
          <t>Original (selon votre confirmation)</t>
        </is>
      </c>
      <c r="H47" s="18" t="n">
        <v>7000</v>
      </c>
      <c r="I47" s="18" t="n"/>
      <c r="J47" s="19" t="n"/>
      <c r="K47" s="18" t="n"/>
      <c r="L47" s="17" t="n"/>
      <c r="M47" s="21">
        <f>IF(OR(J47="",H47=""),"",J47-H47)</f>
        <v/>
      </c>
      <c r="N47" s="22">
        <f>IF(OR(J47="",H47="",J47=0),"",M47/J47)</f>
        <v/>
      </c>
      <c r="O47" s="23" t="n"/>
      <c r="P47" s="24">
        <f>SUMIF('Réceptions'!$C$5:$C$504,$B47,'Réceptions'!$E$5:$E$504)</f>
        <v/>
      </c>
      <c r="Q47" s="24">
        <f>SUMIF('Ventes'!$D$5:$D$504,$B47,'Ventes'!$F$5:$F$504)</f>
        <v/>
      </c>
      <c r="R47" s="24">
        <f>IF(O47="","",O47+P47-Q47)</f>
        <v/>
      </c>
      <c r="S47" s="17" t="inlineStr">
        <is>
          <t>Prix de vente et stock initial à compléter.</t>
        </is>
      </c>
      <c r="T47" s="17" t="inlineStr">
        <is>
          <t>n°43 p.1</t>
        </is>
      </c>
    </row>
    <row r="48" ht="34" customHeight="1">
      <c r="A48" s="14" t="inlineStr">
        <is>
          <t>Ouvrir photo</t>
        </is>
      </c>
      <c r="B48" s="15" t="inlineStr">
        <is>
          <t>HP130C</t>
        </is>
      </c>
      <c r="C48" s="16" t="inlineStr">
        <is>
          <t>HP</t>
        </is>
      </c>
      <c r="D48" s="17" t="inlineStr">
        <is>
          <t>Cartouche / toner imprimante</t>
        </is>
      </c>
      <c r="E48" s="17" t="inlineStr">
        <is>
          <t>Cyan/couleur (suffixe C à confirmer)</t>
        </is>
      </c>
      <c r="F48" s="17" t="inlineStr">
        <is>
          <t>Cartouche/toner HP — HP130C (cyan / couleur)</t>
        </is>
      </c>
      <c r="G48" s="16" t="inlineStr">
        <is>
          <t>Original (selon votre confirmation)</t>
        </is>
      </c>
      <c r="H48" s="18" t="n">
        <v>7500</v>
      </c>
      <c r="I48" s="18" t="n"/>
      <c r="J48" s="19" t="n"/>
      <c r="K48" s="18" t="n"/>
      <c r="L48" s="17" t="n"/>
      <c r="M48" s="21">
        <f>IF(OR(J48="",H48=""),"",J48-H48)</f>
        <v/>
      </c>
      <c r="N48" s="22">
        <f>IF(OR(J48="",H48="",J48=0),"",M48/J48)</f>
        <v/>
      </c>
      <c r="O48" s="23" t="n"/>
      <c r="P48" s="24">
        <f>SUMIF('Réceptions'!$C$5:$C$504,$B48,'Réceptions'!$E$5:$E$504)</f>
        <v/>
      </c>
      <c r="Q48" s="24">
        <f>SUMIF('Ventes'!$D$5:$D$504,$B48,'Ventes'!$F$5:$F$504)</f>
        <v/>
      </c>
      <c r="R48" s="24">
        <f>IF(O48="","",O48+P48-Q48)</f>
        <v/>
      </c>
      <c r="S48" s="17" t="inlineStr">
        <is>
          <t>Prix de vente et stock initial à compléter.</t>
        </is>
      </c>
      <c r="T48" s="17" t="inlineStr">
        <is>
          <t>n°44 p.1</t>
        </is>
      </c>
    </row>
    <row r="49" ht="34" customHeight="1">
      <c r="A49" s="14" t="inlineStr">
        <is>
          <t>Ouvrir photo</t>
        </is>
      </c>
      <c r="B49" s="15" t="inlineStr">
        <is>
          <t>HP117N</t>
        </is>
      </c>
      <c r="C49" s="16" t="inlineStr">
        <is>
          <t>HP</t>
        </is>
      </c>
      <c r="D49" s="17" t="inlineStr">
        <is>
          <t>Cartouche / toner imprimante</t>
        </is>
      </c>
      <c r="E49" s="17" t="inlineStr">
        <is>
          <t>Noir (suffixe N à confirmer)</t>
        </is>
      </c>
      <c r="F49" s="17" t="inlineStr">
        <is>
          <t>Cartouche/toner HP — HP117N (noir)</t>
        </is>
      </c>
      <c r="G49" s="16" t="inlineStr">
        <is>
          <t>Original (selon votre confirmation)</t>
        </is>
      </c>
      <c r="H49" s="18" t="n">
        <v>9000</v>
      </c>
      <c r="I49" s="18" t="n"/>
      <c r="J49" s="19" t="n"/>
      <c r="K49" s="18" t="n"/>
      <c r="L49" s="17" t="n"/>
      <c r="M49" s="21">
        <f>IF(OR(J49="",H49=""),"",J49-H49)</f>
        <v/>
      </c>
      <c r="N49" s="22">
        <f>IF(OR(J49="",H49="",J49=0),"",M49/J49)</f>
        <v/>
      </c>
      <c r="O49" s="23" t="n"/>
      <c r="P49" s="24">
        <f>SUMIF('Réceptions'!$C$5:$C$504,$B49,'Réceptions'!$E$5:$E$504)</f>
        <v/>
      </c>
      <c r="Q49" s="24">
        <f>SUMIF('Ventes'!$D$5:$D$504,$B49,'Ventes'!$F$5:$F$504)</f>
        <v/>
      </c>
      <c r="R49" s="24">
        <f>IF(O49="","",O49+P49-Q49)</f>
        <v/>
      </c>
      <c r="S49" s="17" t="inlineStr">
        <is>
          <t>Photo correspond à HP 117A / W2070A; variante couleur déduite du code source N.</t>
        </is>
      </c>
      <c r="T49" s="17" t="inlineStr">
        <is>
          <t>n°47 p.2</t>
        </is>
      </c>
    </row>
    <row r="50" ht="34" customHeight="1">
      <c r="A50" s="14" t="inlineStr">
        <is>
          <t>Ouvrir photo</t>
        </is>
      </c>
      <c r="B50" s="15" t="inlineStr">
        <is>
          <t>HP117C</t>
        </is>
      </c>
      <c r="C50" s="16" t="inlineStr">
        <is>
          <t>HP</t>
        </is>
      </c>
      <c r="D50" s="17" t="inlineStr">
        <is>
          <t>Cartouche / toner imprimante</t>
        </is>
      </c>
      <c r="E50" s="17" t="inlineStr">
        <is>
          <t>Cyan/couleur (suffixe C à confirmer)</t>
        </is>
      </c>
      <c r="F50" s="17" t="inlineStr">
        <is>
          <t>Cartouche/toner HP — HP117C (cyan / couleur)</t>
        </is>
      </c>
      <c r="G50" s="16" t="inlineStr">
        <is>
          <t>Original (selon votre confirmation)</t>
        </is>
      </c>
      <c r="H50" s="18" t="n">
        <v>9000</v>
      </c>
      <c r="I50" s="18" t="n"/>
      <c r="J50" s="19" t="n"/>
      <c r="K50" s="18" t="n"/>
      <c r="L50" s="17" t="n"/>
      <c r="M50" s="21">
        <f>IF(OR(J50="",H50=""),"",J50-H50)</f>
        <v/>
      </c>
      <c r="N50" s="22">
        <f>IF(OR(J50="",H50="",J50=0),"",M50/J50)</f>
        <v/>
      </c>
      <c r="O50" s="23" t="n"/>
      <c r="P50" s="24">
        <f>SUMIF('Réceptions'!$C$5:$C$504,$B50,'Réceptions'!$E$5:$E$504)</f>
        <v/>
      </c>
      <c r="Q50" s="24">
        <f>SUMIF('Ventes'!$D$5:$D$504,$B50,'Ventes'!$F$5:$F$504)</f>
        <v/>
      </c>
      <c r="R50" s="24">
        <f>IF(O50="","",O50+P50-Q50)</f>
        <v/>
      </c>
      <c r="S50" s="17" t="inlineStr">
        <is>
          <t>Prix de vente et stock initial à compléter.</t>
        </is>
      </c>
      <c r="T50" s="17" t="inlineStr">
        <is>
          <t>n°48 p.2</t>
        </is>
      </c>
    </row>
    <row r="51" ht="34" customHeight="1">
      <c r="A51" s="14" t="inlineStr">
        <is>
          <t>Ouvrir photo</t>
        </is>
      </c>
      <c r="B51" s="15" t="inlineStr">
        <is>
          <t>HP410N</t>
        </is>
      </c>
      <c r="C51" s="16" t="inlineStr">
        <is>
          <t>HP</t>
        </is>
      </c>
      <c r="D51" s="17" t="inlineStr">
        <is>
          <t>Cartouche / toner imprimante</t>
        </is>
      </c>
      <c r="E51" s="17" t="inlineStr">
        <is>
          <t>Noir (suffixe N à confirmer)</t>
        </is>
      </c>
      <c r="F51" s="17" t="inlineStr">
        <is>
          <t>Cartouche/toner HP — HP410N (noir)</t>
        </is>
      </c>
      <c r="G51" s="16" t="inlineStr">
        <is>
          <t>Original (selon votre confirmation)</t>
        </is>
      </c>
      <c r="H51" s="18" t="n">
        <v>7500</v>
      </c>
      <c r="I51" s="18" t="n"/>
      <c r="J51" s="19" t="n"/>
      <c r="K51" s="18" t="n"/>
      <c r="L51" s="17" t="n"/>
      <c r="M51" s="21">
        <f>IF(OR(J51="",H51=""),"",J51-H51)</f>
        <v/>
      </c>
      <c r="N51" s="22">
        <f>IF(OR(J51="",H51="",J51=0),"",M51/J51)</f>
        <v/>
      </c>
      <c r="O51" s="23" t="n"/>
      <c r="P51" s="24">
        <f>SUMIF('Réceptions'!$C$5:$C$504,$B51,'Réceptions'!$E$5:$E$504)</f>
        <v/>
      </c>
      <c r="Q51" s="24">
        <f>SUMIF('Ventes'!$D$5:$D$504,$B51,'Ventes'!$F$5:$F$504)</f>
        <v/>
      </c>
      <c r="R51" s="24">
        <f>IF(O51="","",O51+P51-Q51)</f>
        <v/>
      </c>
      <c r="S51" s="17" t="inlineStr">
        <is>
          <t>Prix de vente et stock initial à compléter.</t>
        </is>
      </c>
      <c r="T51" s="17" t="inlineStr">
        <is>
          <t>n°49 p.2</t>
        </is>
      </c>
    </row>
    <row r="52" ht="34" customHeight="1">
      <c r="A52" s="14" t="inlineStr">
        <is>
          <t>Ouvrir photo</t>
        </is>
      </c>
      <c r="B52" s="15" t="inlineStr">
        <is>
          <t>HP410C</t>
        </is>
      </c>
      <c r="C52" s="16" t="inlineStr">
        <is>
          <t>HP</t>
        </is>
      </c>
      <c r="D52" s="17" t="inlineStr">
        <is>
          <t>Cartouche / toner imprimante</t>
        </is>
      </c>
      <c r="E52" s="17" t="inlineStr">
        <is>
          <t>Cyan/couleur (suffixe C à confirmer)</t>
        </is>
      </c>
      <c r="F52" s="17" t="inlineStr">
        <is>
          <t>Cartouche/toner HP — HP410C (cyan / couleur)</t>
        </is>
      </c>
      <c r="G52" s="16" t="inlineStr">
        <is>
          <t>Original (selon votre confirmation)</t>
        </is>
      </c>
      <c r="H52" s="18" t="n">
        <v>7500</v>
      </c>
      <c r="I52" s="18" t="n"/>
      <c r="J52" s="19" t="n"/>
      <c r="K52" s="18" t="n"/>
      <c r="L52" s="17" t="n"/>
      <c r="M52" s="21">
        <f>IF(OR(J52="",H52=""),"",J52-H52)</f>
        <v/>
      </c>
      <c r="N52" s="22">
        <f>IF(OR(J52="",H52="",J52=0),"",M52/J52)</f>
        <v/>
      </c>
      <c r="O52" s="23" t="n"/>
      <c r="P52" s="24">
        <f>SUMIF('Réceptions'!$C$5:$C$504,$B52,'Réceptions'!$E$5:$E$504)</f>
        <v/>
      </c>
      <c r="Q52" s="24">
        <f>SUMIF('Ventes'!$D$5:$D$504,$B52,'Ventes'!$F$5:$F$504)</f>
        <v/>
      </c>
      <c r="R52" s="24">
        <f>IF(O52="","",O52+P52-Q52)</f>
        <v/>
      </c>
      <c r="S52" s="17" t="inlineStr">
        <is>
          <t>Prix de vente et stock initial à compléter.</t>
        </is>
      </c>
      <c r="T52" s="17" t="inlineStr">
        <is>
          <t>n°50 p.2</t>
        </is>
      </c>
    </row>
    <row r="53" ht="34" customHeight="1">
      <c r="A53" s="14" t="inlineStr">
        <is>
          <t>Ouvrir photo</t>
        </is>
      </c>
      <c r="B53" s="15" t="inlineStr">
        <is>
          <t>HP415N</t>
        </is>
      </c>
      <c r="C53" s="16" t="inlineStr">
        <is>
          <t>HP</t>
        </is>
      </c>
      <c r="D53" s="17" t="inlineStr">
        <is>
          <t>Cartouche / toner imprimante</t>
        </is>
      </c>
      <c r="E53" s="17" t="inlineStr">
        <is>
          <t>Noir (suffixe N à confirmer)</t>
        </is>
      </c>
      <c r="F53" s="17" t="inlineStr">
        <is>
          <t>Cartouche/toner HP — HP415N (noir)</t>
        </is>
      </c>
      <c r="G53" s="16" t="inlineStr">
        <is>
          <t>Original (selon votre confirmation)</t>
        </is>
      </c>
      <c r="H53" s="18" t="n">
        <v>14000</v>
      </c>
      <c r="I53" s="18" t="n"/>
      <c r="J53" s="19" t="n"/>
      <c r="K53" s="18" t="n"/>
      <c r="L53" s="17" t="n"/>
      <c r="M53" s="21">
        <f>IF(OR(J53="",H53=""),"",J53-H53)</f>
        <v/>
      </c>
      <c r="N53" s="22">
        <f>IF(OR(J53="",H53="",J53=0),"",M53/J53)</f>
        <v/>
      </c>
      <c r="O53" s="23" t="n"/>
      <c r="P53" s="24">
        <f>SUMIF('Réceptions'!$C$5:$C$504,$B53,'Réceptions'!$E$5:$E$504)</f>
        <v/>
      </c>
      <c r="Q53" s="24">
        <f>SUMIF('Ventes'!$D$5:$D$504,$B53,'Ventes'!$F$5:$F$504)</f>
        <v/>
      </c>
      <c r="R53" s="24">
        <f>IF(O53="","",O53+P53-Q53)</f>
        <v/>
      </c>
      <c r="S53" s="17" t="inlineStr">
        <is>
          <t>Prix de vente et stock initial à compléter.</t>
        </is>
      </c>
      <c r="T53" s="17" t="inlineStr">
        <is>
          <t>n°51 p.2</t>
        </is>
      </c>
    </row>
    <row r="54" ht="34" customHeight="1">
      <c r="A54" s="14" t="inlineStr">
        <is>
          <t>Ouvrir photo</t>
        </is>
      </c>
      <c r="B54" s="15" t="inlineStr">
        <is>
          <t>HP415C</t>
        </is>
      </c>
      <c r="C54" s="16" t="inlineStr">
        <is>
          <t>HP</t>
        </is>
      </c>
      <c r="D54" s="17" t="inlineStr">
        <is>
          <t>Cartouche / toner imprimante</t>
        </is>
      </c>
      <c r="E54" s="17" t="inlineStr">
        <is>
          <t>Cyan/couleur (suffixe C à confirmer)</t>
        </is>
      </c>
      <c r="F54" s="17" t="inlineStr">
        <is>
          <t>Cartouche/toner HP — HP415C (cyan / couleur)</t>
        </is>
      </c>
      <c r="G54" s="16" t="inlineStr">
        <is>
          <t>Original (selon votre confirmation)</t>
        </is>
      </c>
      <c r="H54" s="18" t="n">
        <v>14000</v>
      </c>
      <c r="I54" s="18" t="n"/>
      <c r="J54" s="19" t="n"/>
      <c r="K54" s="18" t="n"/>
      <c r="L54" s="17" t="n"/>
      <c r="M54" s="21">
        <f>IF(OR(J54="",H54=""),"",J54-H54)</f>
        <v/>
      </c>
      <c r="N54" s="22">
        <f>IF(OR(J54="",H54="",J54=0),"",M54/J54)</f>
        <v/>
      </c>
      <c r="O54" s="23" t="n"/>
      <c r="P54" s="24">
        <f>SUMIF('Réceptions'!$C$5:$C$504,$B54,'Réceptions'!$E$5:$E$504)</f>
        <v/>
      </c>
      <c r="Q54" s="24">
        <f>SUMIF('Ventes'!$D$5:$D$504,$B54,'Ventes'!$F$5:$F$504)</f>
        <v/>
      </c>
      <c r="R54" s="24">
        <f>IF(O54="","",O54+P54-Q54)</f>
        <v/>
      </c>
      <c r="S54" s="17" t="inlineStr">
        <is>
          <t>Prix de vente et stock initial à compléter.</t>
        </is>
      </c>
      <c r="T54" s="17" t="inlineStr">
        <is>
          <t>n°52 p.2</t>
        </is>
      </c>
    </row>
    <row r="55" ht="34" customHeight="1">
      <c r="A55" s="14" t="inlineStr">
        <is>
          <t>Ouvrir photo</t>
        </is>
      </c>
      <c r="B55" s="15" t="inlineStr">
        <is>
          <t>HP305N</t>
        </is>
      </c>
      <c r="C55" s="16" t="inlineStr">
        <is>
          <t>HP</t>
        </is>
      </c>
      <c r="D55" s="17" t="inlineStr">
        <is>
          <t>Cartouche / toner imprimante</t>
        </is>
      </c>
      <c r="E55" s="17" t="inlineStr">
        <is>
          <t>Noir (suffixe N à confirmer)</t>
        </is>
      </c>
      <c r="F55" s="17" t="inlineStr">
        <is>
          <t>Cartouche/toner HP — HP305N (noir)</t>
        </is>
      </c>
      <c r="G55" s="16" t="inlineStr">
        <is>
          <t>Original (selon votre confirmation)</t>
        </is>
      </c>
      <c r="H55" s="18" t="n">
        <v>7500</v>
      </c>
      <c r="I55" s="18" t="n"/>
      <c r="J55" s="19" t="n"/>
      <c r="K55" s="18" t="n"/>
      <c r="L55" s="17" t="n"/>
      <c r="M55" s="21">
        <f>IF(OR(J55="",H55=""),"",J55-H55)</f>
        <v/>
      </c>
      <c r="N55" s="22">
        <f>IF(OR(J55="",H55="",J55=0),"",M55/J55)</f>
        <v/>
      </c>
      <c r="O55" s="23" t="n"/>
      <c r="P55" s="24">
        <f>SUMIF('Réceptions'!$C$5:$C$504,$B55,'Réceptions'!$E$5:$E$504)</f>
        <v/>
      </c>
      <c r="Q55" s="24">
        <f>SUMIF('Ventes'!$D$5:$D$504,$B55,'Ventes'!$F$5:$F$504)</f>
        <v/>
      </c>
      <c r="R55" s="24">
        <f>IF(O55="","",O55+P55-Q55)</f>
        <v/>
      </c>
      <c r="S55" s="17" t="inlineStr">
        <is>
          <t>Prix de vente et stock initial à compléter.</t>
        </is>
      </c>
      <c r="T55" s="17" t="inlineStr">
        <is>
          <t>n°55 p.2</t>
        </is>
      </c>
    </row>
    <row r="56" ht="34" customHeight="1">
      <c r="A56" s="14" t="inlineStr">
        <is>
          <t>Ouvrir photo</t>
        </is>
      </c>
      <c r="B56" s="15" t="inlineStr">
        <is>
          <t>HP305C</t>
        </is>
      </c>
      <c r="C56" s="16" t="inlineStr">
        <is>
          <t>HP</t>
        </is>
      </c>
      <c r="D56" s="17" t="inlineStr">
        <is>
          <t>Cartouche / toner imprimante</t>
        </is>
      </c>
      <c r="E56" s="17" t="inlineStr">
        <is>
          <t>Cyan/couleur (suffixe C à confirmer)</t>
        </is>
      </c>
      <c r="F56" s="17" t="inlineStr">
        <is>
          <t>Cartouche/toner HP — HP305C (cyan / couleur)</t>
        </is>
      </c>
      <c r="G56" s="16" t="inlineStr">
        <is>
          <t>Original (selon votre confirmation)</t>
        </is>
      </c>
      <c r="H56" s="18" t="n">
        <v>7500</v>
      </c>
      <c r="I56" s="18" t="n"/>
      <c r="J56" s="19" t="n"/>
      <c r="K56" s="18" t="n"/>
      <c r="L56" s="17" t="n"/>
      <c r="M56" s="21">
        <f>IF(OR(J56="",H56=""),"",J56-H56)</f>
        <v/>
      </c>
      <c r="N56" s="22">
        <f>IF(OR(J56="",H56="",J56=0),"",M56/J56)</f>
        <v/>
      </c>
      <c r="O56" s="23" t="n"/>
      <c r="P56" s="24">
        <f>SUMIF('Réceptions'!$C$5:$C$504,$B56,'Réceptions'!$E$5:$E$504)</f>
        <v/>
      </c>
      <c r="Q56" s="24">
        <f>SUMIF('Ventes'!$D$5:$D$504,$B56,'Ventes'!$F$5:$F$504)</f>
        <v/>
      </c>
      <c r="R56" s="24">
        <f>IF(O56="","",O56+P56-Q56)</f>
        <v/>
      </c>
      <c r="S56" s="17" t="inlineStr">
        <is>
          <t>Prix de vente et stock initial à compléter.</t>
        </is>
      </c>
      <c r="T56" s="17" t="inlineStr">
        <is>
          <t>n°56 p.2</t>
        </is>
      </c>
    </row>
    <row r="57" ht="34" customHeight="1">
      <c r="A57" s="14" t="inlineStr">
        <is>
          <t>Ouvrir photo</t>
        </is>
      </c>
      <c r="B57" s="15" t="inlineStr">
        <is>
          <t>HP312N</t>
        </is>
      </c>
      <c r="C57" s="16" t="inlineStr">
        <is>
          <t>HP</t>
        </is>
      </c>
      <c r="D57" s="17" t="inlineStr">
        <is>
          <t>Cartouche / toner imprimante</t>
        </is>
      </c>
      <c r="E57" s="17" t="inlineStr">
        <is>
          <t>Noir (suffixe N à confirmer)</t>
        </is>
      </c>
      <c r="F57" s="17" t="inlineStr">
        <is>
          <t>Cartouche/toner HP — HP312N (noir)</t>
        </is>
      </c>
      <c r="G57" s="16" t="inlineStr">
        <is>
          <t>Original (selon votre confirmation)</t>
        </is>
      </c>
      <c r="H57" s="18" t="n">
        <v>7500</v>
      </c>
      <c r="I57" s="18" t="n"/>
      <c r="J57" s="19" t="n"/>
      <c r="K57" s="18" t="n"/>
      <c r="L57" s="17" t="n"/>
      <c r="M57" s="21">
        <f>IF(OR(J57="",H57=""),"",J57-H57)</f>
        <v/>
      </c>
      <c r="N57" s="22">
        <f>IF(OR(J57="",H57="",J57=0),"",M57/J57)</f>
        <v/>
      </c>
      <c r="O57" s="23" t="n"/>
      <c r="P57" s="24">
        <f>SUMIF('Réceptions'!$C$5:$C$504,$B57,'Réceptions'!$E$5:$E$504)</f>
        <v/>
      </c>
      <c r="Q57" s="24">
        <f>SUMIF('Ventes'!$D$5:$D$504,$B57,'Ventes'!$F$5:$F$504)</f>
        <v/>
      </c>
      <c r="R57" s="24">
        <f>IF(O57="","",O57+P57-Q57)</f>
        <v/>
      </c>
      <c r="S57" s="17" t="inlineStr">
        <is>
          <t>Prix de vente et stock initial à compléter.</t>
        </is>
      </c>
      <c r="T57" s="17" t="inlineStr">
        <is>
          <t>n°57 p.2</t>
        </is>
      </c>
    </row>
    <row r="58" ht="34" customHeight="1">
      <c r="A58" s="14" t="inlineStr">
        <is>
          <t>Ouvrir photo</t>
        </is>
      </c>
      <c r="B58" s="15" t="inlineStr">
        <is>
          <t>HP312C</t>
        </is>
      </c>
      <c r="C58" s="16" t="inlineStr">
        <is>
          <t>HP</t>
        </is>
      </c>
      <c r="D58" s="17" t="inlineStr">
        <is>
          <t>Cartouche / toner imprimante</t>
        </is>
      </c>
      <c r="E58" s="17" t="inlineStr">
        <is>
          <t>Cyan/couleur (suffixe C à confirmer)</t>
        </is>
      </c>
      <c r="F58" s="17" t="inlineStr">
        <is>
          <t>Cartouche/toner HP — HP312C (cyan / couleur)</t>
        </is>
      </c>
      <c r="G58" s="16" t="inlineStr">
        <is>
          <t>Original (selon votre confirmation)</t>
        </is>
      </c>
      <c r="H58" s="18" t="n">
        <v>7500</v>
      </c>
      <c r="I58" s="18" t="n"/>
      <c r="J58" s="19" t="n"/>
      <c r="K58" s="18" t="n"/>
      <c r="L58" s="17" t="n"/>
      <c r="M58" s="21">
        <f>IF(OR(J58="",H58=""),"",J58-H58)</f>
        <v/>
      </c>
      <c r="N58" s="22">
        <f>IF(OR(J58="",H58="",J58=0),"",M58/J58)</f>
        <v/>
      </c>
      <c r="O58" s="23" t="n"/>
      <c r="P58" s="24">
        <f>SUMIF('Réceptions'!$C$5:$C$504,$B58,'Réceptions'!$E$5:$E$504)</f>
        <v/>
      </c>
      <c r="Q58" s="24">
        <f>SUMIF('Ventes'!$D$5:$D$504,$B58,'Ventes'!$F$5:$F$504)</f>
        <v/>
      </c>
      <c r="R58" s="24">
        <f>IF(O58="","",O58+P58-Q58)</f>
        <v/>
      </c>
      <c r="S58" s="17" t="inlineStr">
        <is>
          <t>Prix de vente et stock initial à compléter.</t>
        </is>
      </c>
      <c r="T58" s="17" t="inlineStr">
        <is>
          <t>n°58 p.2</t>
        </is>
      </c>
    </row>
    <row r="59" ht="34" customHeight="1">
      <c r="A59" s="14" t="inlineStr">
        <is>
          <t>Ouvrir photo</t>
        </is>
      </c>
      <c r="B59" s="15" t="inlineStr">
        <is>
          <t>HP304N</t>
        </is>
      </c>
      <c r="C59" s="16" t="inlineStr">
        <is>
          <t>HP</t>
        </is>
      </c>
      <c r="D59" s="17" t="inlineStr">
        <is>
          <t>Cartouche / toner imprimante</t>
        </is>
      </c>
      <c r="E59" s="17" t="inlineStr">
        <is>
          <t>Noir (suffixe N à confirmer)</t>
        </is>
      </c>
      <c r="F59" s="17" t="inlineStr">
        <is>
          <t>Cartouche/toner HP — HP304N (noir)</t>
        </is>
      </c>
      <c r="G59" s="16" t="inlineStr">
        <is>
          <t>Original (selon votre confirmation)</t>
        </is>
      </c>
      <c r="H59" s="18" t="n">
        <v>9000</v>
      </c>
      <c r="I59" s="18" t="n"/>
      <c r="J59" s="19" t="n"/>
      <c r="K59" s="18" t="n"/>
      <c r="L59" s="17" t="n"/>
      <c r="M59" s="21">
        <f>IF(OR(J59="",H59=""),"",J59-H59)</f>
        <v/>
      </c>
      <c r="N59" s="22">
        <f>IF(OR(J59="",H59="",J59=0),"",M59/J59)</f>
        <v/>
      </c>
      <c r="O59" s="23" t="n"/>
      <c r="P59" s="24">
        <f>SUMIF('Réceptions'!$C$5:$C$504,$B59,'Réceptions'!$E$5:$E$504)</f>
        <v/>
      </c>
      <c r="Q59" s="24">
        <f>SUMIF('Ventes'!$D$5:$D$504,$B59,'Ventes'!$F$5:$F$504)</f>
        <v/>
      </c>
      <c r="R59" s="24">
        <f>IF(O59="","",O59+P59-Q59)</f>
        <v/>
      </c>
      <c r="S59" s="17" t="inlineStr">
        <is>
          <t>Prix de vente et stock initial à compléter.</t>
        </is>
      </c>
      <c r="T59" s="17" t="inlineStr">
        <is>
          <t>n°59 p.2</t>
        </is>
      </c>
    </row>
    <row r="60" ht="34" customHeight="1">
      <c r="A60" s="14" t="inlineStr">
        <is>
          <t>Ouvrir photo</t>
        </is>
      </c>
      <c r="B60" s="15" t="inlineStr">
        <is>
          <t>HP304C</t>
        </is>
      </c>
      <c r="C60" s="16" t="inlineStr">
        <is>
          <t>HP</t>
        </is>
      </c>
      <c r="D60" s="17" t="inlineStr">
        <is>
          <t>Cartouche / toner imprimante</t>
        </is>
      </c>
      <c r="E60" s="17" t="inlineStr">
        <is>
          <t>Cyan/couleur (suffixe C à confirmer)</t>
        </is>
      </c>
      <c r="F60" s="17" t="inlineStr">
        <is>
          <t>Cartouche/toner HP — HP304C (cyan / couleur)</t>
        </is>
      </c>
      <c r="G60" s="16" t="inlineStr">
        <is>
          <t>Original (selon votre confirmation)</t>
        </is>
      </c>
      <c r="H60" s="18" t="n">
        <v>9000</v>
      </c>
      <c r="I60" s="18" t="n"/>
      <c r="J60" s="19" t="n"/>
      <c r="K60" s="18" t="n"/>
      <c r="L60" s="17" t="n"/>
      <c r="M60" s="21">
        <f>IF(OR(J60="",H60=""),"",J60-H60)</f>
        <v/>
      </c>
      <c r="N60" s="22">
        <f>IF(OR(J60="",H60="",J60=0),"",M60/J60)</f>
        <v/>
      </c>
      <c r="O60" s="23" t="n"/>
      <c r="P60" s="24">
        <f>SUMIF('Réceptions'!$C$5:$C$504,$B60,'Réceptions'!$E$5:$E$504)</f>
        <v/>
      </c>
      <c r="Q60" s="24">
        <f>SUMIF('Ventes'!$D$5:$D$504,$B60,'Ventes'!$F$5:$F$504)</f>
        <v/>
      </c>
      <c r="R60" s="24">
        <f>IF(O60="","",O60+P60-Q60)</f>
        <v/>
      </c>
      <c r="S60" s="17" t="inlineStr">
        <is>
          <t>Prix de vente et stock initial à compléter.</t>
        </is>
      </c>
      <c r="T60" s="17" t="inlineStr">
        <is>
          <t>n°60 p.2</t>
        </is>
      </c>
    </row>
    <row r="61" ht="34" customHeight="1">
      <c r="A61" s="14" t="inlineStr">
        <is>
          <t>Ouvrir photo</t>
        </is>
      </c>
      <c r="B61" s="15" t="inlineStr">
        <is>
          <t>HP81A</t>
        </is>
      </c>
      <c r="C61" s="16" t="inlineStr">
        <is>
          <t>HP</t>
        </is>
      </c>
      <c r="D61" s="17" t="inlineStr">
        <is>
          <t>Cartouche / toner imprimante</t>
        </is>
      </c>
      <c r="E61" s="17" t="inlineStr">
        <is>
          <t>Non précisée dans la source</t>
        </is>
      </c>
      <c r="F61" s="17" t="inlineStr">
        <is>
          <t>Cartouche/toner HP — HP81A (couleur à préciser)</t>
        </is>
      </c>
      <c r="G61" s="16" t="inlineStr">
        <is>
          <t>Original (selon votre confirmation)</t>
        </is>
      </c>
      <c r="H61" s="18" t="n">
        <v>20000</v>
      </c>
      <c r="I61" s="18" t="n"/>
      <c r="J61" s="19" t="n"/>
      <c r="K61" s="18" t="n"/>
      <c r="L61" s="17" t="n"/>
      <c r="M61" s="21">
        <f>IF(OR(J61="",H61=""),"",J61-H61)</f>
        <v/>
      </c>
      <c r="N61" s="22">
        <f>IF(OR(J61="",H61="",J61=0),"",M61/J61)</f>
        <v/>
      </c>
      <c r="O61" s="23" t="n"/>
      <c r="P61" s="24">
        <f>SUMIF('Réceptions'!$C$5:$C$504,$B61,'Réceptions'!$E$5:$E$504)</f>
        <v/>
      </c>
      <c r="Q61" s="24">
        <f>SUMIF('Ventes'!$D$5:$D$504,$B61,'Ventes'!$F$5:$F$504)</f>
        <v/>
      </c>
      <c r="R61" s="24">
        <f>IF(O61="","",O61+P61-Q61)</f>
        <v/>
      </c>
      <c r="S61" s="17" t="inlineStr">
        <is>
          <t>Prix de vente et stock initial à compléter.</t>
        </is>
      </c>
      <c r="T61" s="17" t="inlineStr">
        <is>
          <t>n°62 p.2</t>
        </is>
      </c>
    </row>
    <row r="62" ht="34" customHeight="1">
      <c r="A62" s="14" t="inlineStr">
        <is>
          <t>Ouvrir photo</t>
        </is>
      </c>
      <c r="B62" s="15" t="inlineStr">
        <is>
          <t>HP147A</t>
        </is>
      </c>
      <c r="C62" s="16" t="inlineStr">
        <is>
          <t>HP</t>
        </is>
      </c>
      <c r="D62" s="17" t="inlineStr">
        <is>
          <t>Cartouche / toner imprimante</t>
        </is>
      </c>
      <c r="E62" s="17" t="inlineStr">
        <is>
          <t>Non précisée dans la source</t>
        </is>
      </c>
      <c r="F62" s="17" t="inlineStr">
        <is>
          <t>Cartouche/toner HP — HP147A (couleur à préciser)</t>
        </is>
      </c>
      <c r="G62" s="16" t="inlineStr">
        <is>
          <t>Original (selon votre confirmation)</t>
        </is>
      </c>
      <c r="H62" s="18" t="n">
        <v>25000</v>
      </c>
      <c r="I62" s="18" t="n"/>
      <c r="J62" s="19" t="n"/>
      <c r="K62" s="18" t="n"/>
      <c r="L62" s="17" t="n"/>
      <c r="M62" s="21">
        <f>IF(OR(J62="",H62=""),"",J62-H62)</f>
        <v/>
      </c>
      <c r="N62" s="22">
        <f>IF(OR(J62="",H62="",J62=0),"",M62/J62)</f>
        <v/>
      </c>
      <c r="O62" s="23" t="n"/>
      <c r="P62" s="24">
        <f>SUMIF('Réceptions'!$C$5:$C$504,$B62,'Réceptions'!$E$5:$E$504)</f>
        <v/>
      </c>
      <c r="Q62" s="24">
        <f>SUMIF('Ventes'!$D$5:$D$504,$B62,'Ventes'!$F$5:$F$504)</f>
        <v/>
      </c>
      <c r="R62" s="24">
        <f>IF(O62="","",O62+P62-Q62)</f>
        <v/>
      </c>
      <c r="S62" s="17" t="inlineStr">
        <is>
          <t>Prix de vente et stock initial à compléter.</t>
        </is>
      </c>
      <c r="T62" s="17" t="inlineStr">
        <is>
          <t>n°63 p.2</t>
        </is>
      </c>
    </row>
    <row r="63" ht="34" customHeight="1">
      <c r="A63" s="14" t="inlineStr">
        <is>
          <t>Ouvrir photo</t>
        </is>
      </c>
      <c r="B63" s="15" t="inlineStr">
        <is>
          <t>HP55A</t>
        </is>
      </c>
      <c r="C63" s="16" t="inlineStr">
        <is>
          <t>HP</t>
        </is>
      </c>
      <c r="D63" s="17" t="inlineStr">
        <is>
          <t>Cartouche / toner imprimante</t>
        </is>
      </c>
      <c r="E63" s="17" t="inlineStr">
        <is>
          <t>Non précisée dans la source</t>
        </is>
      </c>
      <c r="F63" s="17" t="inlineStr">
        <is>
          <t>Cartouche/toner HP — HP55A (couleur à préciser)</t>
        </is>
      </c>
      <c r="G63" s="16" t="inlineStr">
        <is>
          <t>Original (selon votre confirmation)</t>
        </is>
      </c>
      <c r="H63" s="18" t="n">
        <v>13000</v>
      </c>
      <c r="I63" s="18" t="n"/>
      <c r="J63" s="19" t="n"/>
      <c r="K63" s="18" t="n"/>
      <c r="L63" s="17" t="n"/>
      <c r="M63" s="21">
        <f>IF(OR(J63="",H63=""),"",J63-H63)</f>
        <v/>
      </c>
      <c r="N63" s="22">
        <f>IF(OR(J63="",H63="",J63=0),"",M63/J63)</f>
        <v/>
      </c>
      <c r="O63" s="23" t="n"/>
      <c r="P63" s="24">
        <f>SUMIF('Réceptions'!$C$5:$C$504,$B63,'Réceptions'!$E$5:$E$504)</f>
        <v/>
      </c>
      <c r="Q63" s="24">
        <f>SUMIF('Ventes'!$D$5:$D$504,$B63,'Ventes'!$F$5:$F$504)</f>
        <v/>
      </c>
      <c r="R63" s="24">
        <f>IF(O63="","",O63+P63-Q63)</f>
        <v/>
      </c>
      <c r="S63" s="17" t="inlineStr">
        <is>
          <t>Prix de vente et stock initial à compléter.</t>
        </is>
      </c>
      <c r="T63" s="17" t="inlineStr">
        <is>
          <t>n°64 p.2</t>
        </is>
      </c>
    </row>
    <row r="64" ht="34" customHeight="1">
      <c r="A64" s="14" t="inlineStr">
        <is>
          <t>Ouvrir photo</t>
        </is>
      </c>
      <c r="B64" s="15" t="inlineStr">
        <is>
          <t>TAMB19A</t>
        </is>
      </c>
      <c r="C64" s="16" t="inlineStr">
        <is>
          <t>À confirmer (tambour)</t>
        </is>
      </c>
      <c r="D64" s="17" t="inlineStr">
        <is>
          <t>Tambour / unité d’image</t>
        </is>
      </c>
      <c r="E64" s="17" t="inlineStr">
        <is>
          <t>Tambour</t>
        </is>
      </c>
      <c r="F64" s="17" t="inlineStr">
        <is>
          <t>Tambour / unité d’image — TAMB19A</t>
        </is>
      </c>
      <c r="G64" s="16" t="inlineStr">
        <is>
          <t>Original (selon votre confirmation)</t>
        </is>
      </c>
      <c r="H64" s="18" t="n">
        <v>8000</v>
      </c>
      <c r="I64" s="18" t="n"/>
      <c r="J64" s="19" t="n"/>
      <c r="K64" s="18" t="n"/>
      <c r="L64" s="17" t="n"/>
      <c r="M64" s="21">
        <f>IF(OR(J64="",H64=""),"",J64-H64)</f>
        <v/>
      </c>
      <c r="N64" s="22">
        <f>IF(OR(J64="",H64="",J64=0),"",M64/J64)</f>
        <v/>
      </c>
      <c r="O64" s="23" t="n"/>
      <c r="P64" s="24">
        <f>SUMIF('Réceptions'!$C$5:$C$504,$B64,'Réceptions'!$E$5:$E$504)</f>
        <v/>
      </c>
      <c r="Q64" s="24">
        <f>SUMIF('Ventes'!$D$5:$D$504,$B64,'Ventes'!$F$5:$F$504)</f>
        <v/>
      </c>
      <c r="R64" s="24">
        <f>IF(O64="","",O64+P64-Q64)</f>
        <v/>
      </c>
      <c r="S64" s="17" t="inlineStr">
        <is>
          <t>Prix de vente et stock initial à compléter.</t>
        </is>
      </c>
      <c r="T64" s="17" t="inlineStr">
        <is>
          <t>n°65 p.2</t>
        </is>
      </c>
    </row>
    <row r="65" ht="34" customHeight="1">
      <c r="A65" s="14" t="inlineStr">
        <is>
          <t>Ouvrir photo</t>
        </is>
      </c>
      <c r="B65" s="15" t="inlineStr">
        <is>
          <t>TAMB120A</t>
        </is>
      </c>
      <c r="C65" s="16" t="inlineStr">
        <is>
          <t>À confirmer (tambour)</t>
        </is>
      </c>
      <c r="D65" s="17" t="inlineStr">
        <is>
          <t>Tambour / unité d’image</t>
        </is>
      </c>
      <c r="E65" s="17" t="inlineStr">
        <is>
          <t>Tambour</t>
        </is>
      </c>
      <c r="F65" s="17" t="inlineStr">
        <is>
          <t>Tambour / unité d’image — TAMB120A</t>
        </is>
      </c>
      <c r="G65" s="16" t="inlineStr">
        <is>
          <t>Original (selon votre confirmation)</t>
        </is>
      </c>
      <c r="H65" s="18" t="n">
        <v>20000</v>
      </c>
      <c r="I65" s="18" t="n"/>
      <c r="J65" s="19" t="n"/>
      <c r="K65" s="18" t="n"/>
      <c r="L65" s="17" t="n"/>
      <c r="M65" s="21">
        <f>IF(OR(J65="",H65=""),"",J65-H65)</f>
        <v/>
      </c>
      <c r="N65" s="22">
        <f>IF(OR(J65="",H65="",J65=0),"",M65/J65)</f>
        <v/>
      </c>
      <c r="O65" s="23" t="n"/>
      <c r="P65" s="24">
        <f>SUMIF('Réceptions'!$C$5:$C$504,$B65,'Réceptions'!$E$5:$E$504)</f>
        <v/>
      </c>
      <c r="Q65" s="24">
        <f>SUMIF('Ventes'!$D$5:$D$504,$B65,'Ventes'!$F$5:$F$504)</f>
        <v/>
      </c>
      <c r="R65" s="24">
        <f>IF(O65="","",O65+P65-Q65)</f>
        <v/>
      </c>
      <c r="S65" s="17" t="inlineStr">
        <is>
          <t>Prix de vente et stock initial à compléter.</t>
        </is>
      </c>
      <c r="T65" s="17" t="inlineStr">
        <is>
          <t>n°66 p.2</t>
        </is>
      </c>
    </row>
    <row r="66" ht="34" customHeight="1">
      <c r="A66" s="14" t="inlineStr">
        <is>
          <t>Ouvrir photo</t>
        </is>
      </c>
      <c r="B66" s="15" t="inlineStr">
        <is>
          <t>CANON045N</t>
        </is>
      </c>
      <c r="C66" s="16" t="inlineStr">
        <is>
          <t>Canon</t>
        </is>
      </c>
      <c r="D66" s="17" t="inlineStr">
        <is>
          <t>Cartouche / toner imprimante</t>
        </is>
      </c>
      <c r="E66" s="17" t="inlineStr">
        <is>
          <t>Noir (suffixe N à confirmer)</t>
        </is>
      </c>
      <c r="F66" s="17" t="inlineStr">
        <is>
          <t>Cartouche/toner Canon — CANON045N (noir)</t>
        </is>
      </c>
      <c r="G66" s="16" t="inlineStr">
        <is>
          <t>Original (selon votre confirmation)</t>
        </is>
      </c>
      <c r="H66" s="18" t="n">
        <v>7500</v>
      </c>
      <c r="I66" s="18" t="n"/>
      <c r="J66" s="19" t="n"/>
      <c r="K66" s="18" t="n"/>
      <c r="L66" s="17" t="n"/>
      <c r="M66" s="21">
        <f>IF(OR(J66="",H66=""),"",J66-H66)</f>
        <v/>
      </c>
      <c r="N66" s="22">
        <f>IF(OR(J66="",H66="",J66=0),"",M66/J66)</f>
        <v/>
      </c>
      <c r="O66" s="23" t="n"/>
      <c r="P66" s="24">
        <f>SUMIF('Réceptions'!$C$5:$C$504,$B66,'Réceptions'!$E$5:$E$504)</f>
        <v/>
      </c>
      <c r="Q66" s="24">
        <f>SUMIF('Ventes'!$D$5:$D$504,$B66,'Ventes'!$F$5:$F$504)</f>
        <v/>
      </c>
      <c r="R66" s="24">
        <f>IF(O66="","",O66+P66-Q66)</f>
        <v/>
      </c>
      <c r="S66" s="17" t="inlineStr">
        <is>
          <t>Visuel disponible de la gamme Canon 045 en boîte multicolore; l’image ne montre pas la cartouche noire seule.</t>
        </is>
      </c>
      <c r="T66" s="17" t="inlineStr">
        <is>
          <t>n°67 p.2</t>
        </is>
      </c>
    </row>
    <row r="67" ht="34" customHeight="1">
      <c r="A67" s="14" t="inlineStr">
        <is>
          <t>Ouvrir photo</t>
        </is>
      </c>
      <c r="B67" s="15" t="inlineStr">
        <is>
          <t>CANON045C</t>
        </is>
      </c>
      <c r="C67" s="16" t="inlineStr">
        <is>
          <t>Canon</t>
        </is>
      </c>
      <c r="D67" s="17" t="inlineStr">
        <is>
          <t>Cartouche / toner imprimante</t>
        </is>
      </c>
      <c r="E67" s="17" t="inlineStr">
        <is>
          <t>Cyan/couleur (suffixe C à confirmer)</t>
        </is>
      </c>
      <c r="F67" s="17" t="inlineStr">
        <is>
          <t>Cartouche/toner Canon — CANON045C (cyan / couleur)</t>
        </is>
      </c>
      <c r="G67" s="16" t="inlineStr">
        <is>
          <t>Original (selon votre confirmation)</t>
        </is>
      </c>
      <c r="H67" s="18" t="n">
        <v>7500</v>
      </c>
      <c r="I67" s="18" t="n"/>
      <c r="J67" s="19" t="n"/>
      <c r="K67" s="18" t="n"/>
      <c r="L67" s="17" t="n"/>
      <c r="M67" s="21">
        <f>IF(OR(J67="",H67=""),"",J67-H67)</f>
        <v/>
      </c>
      <c r="N67" s="22">
        <f>IF(OR(J67="",H67="",J67=0),"",M67/J67)</f>
        <v/>
      </c>
      <c r="O67" s="23" t="n"/>
      <c r="P67" s="24">
        <f>SUMIF('Réceptions'!$C$5:$C$504,$B67,'Réceptions'!$E$5:$E$504)</f>
        <v/>
      </c>
      <c r="Q67" s="24">
        <f>SUMIF('Ventes'!$D$5:$D$504,$B67,'Ventes'!$F$5:$F$504)</f>
        <v/>
      </c>
      <c r="R67" s="24">
        <f>IF(O67="","",O67+P67-Q67)</f>
        <v/>
      </c>
      <c r="S67" s="17" t="inlineStr">
        <is>
          <t>Prix de vente et stock initial à compléter.</t>
        </is>
      </c>
      <c r="T67" s="17" t="inlineStr">
        <is>
          <t>n°68 p.2</t>
        </is>
      </c>
    </row>
    <row r="68" ht="34" customHeight="1">
      <c r="A68" s="14" t="inlineStr">
        <is>
          <t>Ouvrir photo</t>
        </is>
      </c>
      <c r="B68" s="15" t="inlineStr">
        <is>
          <t>CANON055N</t>
        </is>
      </c>
      <c r="C68" s="16" t="inlineStr">
        <is>
          <t>Canon</t>
        </is>
      </c>
      <c r="D68" s="17" t="inlineStr">
        <is>
          <t>Cartouche / toner imprimante</t>
        </is>
      </c>
      <c r="E68" s="17" t="inlineStr">
        <is>
          <t>Noir (suffixe N à confirmer)</t>
        </is>
      </c>
      <c r="F68" s="17" t="inlineStr">
        <is>
          <t>Cartouche/toner Canon — CANON055N (noir)</t>
        </is>
      </c>
      <c r="G68" s="16" t="inlineStr">
        <is>
          <t>Original (selon votre confirmation)</t>
        </is>
      </c>
      <c r="H68" s="18" t="n">
        <v>13000</v>
      </c>
      <c r="I68" s="18" t="n"/>
      <c r="J68" s="19" t="n"/>
      <c r="K68" s="18" t="n"/>
      <c r="L68" s="17" t="n"/>
      <c r="M68" s="21">
        <f>IF(OR(J68="",H68=""),"",J68-H68)</f>
        <v/>
      </c>
      <c r="N68" s="22">
        <f>IF(OR(J68="",H68="",J68=0),"",M68/J68)</f>
        <v/>
      </c>
      <c r="O68" s="23" t="n"/>
      <c r="P68" s="24">
        <f>SUMIF('Réceptions'!$C$5:$C$504,$B68,'Réceptions'!$E$5:$E$504)</f>
        <v/>
      </c>
      <c r="Q68" s="24">
        <f>SUMIF('Ventes'!$D$5:$D$504,$B68,'Ventes'!$F$5:$F$504)</f>
        <v/>
      </c>
      <c r="R68" s="24">
        <f>IF(O68="","",O68+P68-Q68)</f>
        <v/>
      </c>
      <c r="S68" s="17" t="inlineStr">
        <is>
          <t>Prix de vente et stock initial à compléter.</t>
        </is>
      </c>
      <c r="T68" s="17" t="inlineStr">
        <is>
          <t>n°69 p.2</t>
        </is>
      </c>
    </row>
    <row r="69" ht="34" customHeight="1">
      <c r="A69" s="14" t="inlineStr">
        <is>
          <t>Ouvrir photo</t>
        </is>
      </c>
      <c r="B69" s="15" t="inlineStr">
        <is>
          <t>CANON055C</t>
        </is>
      </c>
      <c r="C69" s="16" t="inlineStr">
        <is>
          <t>Canon</t>
        </is>
      </c>
      <c r="D69" s="17" t="inlineStr">
        <is>
          <t>Cartouche / toner imprimante</t>
        </is>
      </c>
      <c r="E69" s="17" t="inlineStr">
        <is>
          <t>Cyan/couleur (suffixe C à confirmer)</t>
        </is>
      </c>
      <c r="F69" s="17" t="inlineStr">
        <is>
          <t>Cartouche/toner Canon — CANON055C (cyan / couleur)</t>
        </is>
      </c>
      <c r="G69" s="16" t="inlineStr">
        <is>
          <t>Original (selon votre confirmation)</t>
        </is>
      </c>
      <c r="H69" s="18" t="n">
        <v>13000</v>
      </c>
      <c r="I69" s="18" t="n"/>
      <c r="J69" s="19" t="n"/>
      <c r="K69" s="18" t="n"/>
      <c r="L69" s="17" t="n"/>
      <c r="M69" s="21">
        <f>IF(OR(J69="",H69=""),"",J69-H69)</f>
        <v/>
      </c>
      <c r="N69" s="22">
        <f>IF(OR(J69="",H69="",J69=0),"",M69/J69)</f>
        <v/>
      </c>
      <c r="O69" s="23" t="n"/>
      <c r="P69" s="24">
        <f>SUMIF('Réceptions'!$C$5:$C$504,$B69,'Réceptions'!$E$5:$E$504)</f>
        <v/>
      </c>
      <c r="Q69" s="24">
        <f>SUMIF('Ventes'!$D$5:$D$504,$B69,'Ventes'!$F$5:$F$504)</f>
        <v/>
      </c>
      <c r="R69" s="24">
        <f>IF(O69="","",O69+P69-Q69)</f>
        <v/>
      </c>
      <c r="S69" s="17" t="inlineStr">
        <is>
          <t>Prix de vente et stock initial à compléter.</t>
        </is>
      </c>
      <c r="T69" s="17" t="inlineStr">
        <is>
          <t>n°70 p.2</t>
        </is>
      </c>
    </row>
    <row r="70" ht="34" customHeight="1">
      <c r="A70" s="14" t="inlineStr">
        <is>
          <t>Ouvrir photo</t>
        </is>
      </c>
      <c r="B70" s="15" t="inlineStr">
        <is>
          <t>CANON067N</t>
        </is>
      </c>
      <c r="C70" s="16" t="inlineStr">
        <is>
          <t>Canon</t>
        </is>
      </c>
      <c r="D70" s="17" t="inlineStr">
        <is>
          <t>Cartouche / toner imprimante</t>
        </is>
      </c>
      <c r="E70" s="17" t="inlineStr">
        <is>
          <t>Noir (suffixe N à confirmer)</t>
        </is>
      </c>
      <c r="F70" s="17" t="inlineStr">
        <is>
          <t>Cartouche/toner Canon — CANON067N (noir)</t>
        </is>
      </c>
      <c r="G70" s="16" t="inlineStr">
        <is>
          <t>Original (selon votre confirmation)</t>
        </is>
      </c>
      <c r="H70" s="18" t="n">
        <v>13000</v>
      </c>
      <c r="I70" s="18" t="n"/>
      <c r="J70" s="19" t="n"/>
      <c r="K70" s="18" t="n"/>
      <c r="L70" s="17" t="n"/>
      <c r="M70" s="21">
        <f>IF(OR(J70="",H70=""),"",J70-H70)</f>
        <v/>
      </c>
      <c r="N70" s="22">
        <f>IF(OR(J70="",H70="",J70=0),"",M70/J70)</f>
        <v/>
      </c>
      <c r="O70" s="23" t="n"/>
      <c r="P70" s="24">
        <f>SUMIF('Réceptions'!$C$5:$C$504,$B70,'Réceptions'!$E$5:$E$504)</f>
        <v/>
      </c>
      <c r="Q70" s="24">
        <f>SUMIF('Ventes'!$D$5:$D$504,$B70,'Ventes'!$F$5:$F$504)</f>
        <v/>
      </c>
      <c r="R70" s="24">
        <f>IF(O70="","",O70+P70-Q70)</f>
        <v/>
      </c>
      <c r="S70" s="17" t="inlineStr">
        <is>
          <t>Prix de vente et stock initial à compléter.</t>
        </is>
      </c>
      <c r="T70" s="17" t="inlineStr">
        <is>
          <t>n°71 p.2</t>
        </is>
      </c>
    </row>
    <row r="71" ht="34" customHeight="1">
      <c r="A71" s="14" t="inlineStr">
        <is>
          <t>Ouvrir photo</t>
        </is>
      </c>
      <c r="B71" s="15" t="inlineStr">
        <is>
          <t>CANON067C</t>
        </is>
      </c>
      <c r="C71" s="16" t="inlineStr">
        <is>
          <t>Canon</t>
        </is>
      </c>
      <c r="D71" s="17" t="inlineStr">
        <is>
          <t>Cartouche / toner imprimante</t>
        </is>
      </c>
      <c r="E71" s="17" t="inlineStr">
        <is>
          <t>Cyan/couleur (suffixe C à confirmer)</t>
        </is>
      </c>
      <c r="F71" s="17" t="inlineStr">
        <is>
          <t>Cartouche/toner Canon — CANON067C (cyan / couleur)</t>
        </is>
      </c>
      <c r="G71" s="16" t="inlineStr">
        <is>
          <t>Original (selon votre confirmation)</t>
        </is>
      </c>
      <c r="H71" s="18" t="n">
        <v>13000</v>
      </c>
      <c r="I71" s="18" t="n"/>
      <c r="J71" s="19" t="n"/>
      <c r="K71" s="18" t="n"/>
      <c r="L71" s="17" t="n"/>
      <c r="M71" s="21">
        <f>IF(OR(J71="",H71=""),"",J71-H71)</f>
        <v/>
      </c>
      <c r="N71" s="22">
        <f>IF(OR(J71="",H71="",J71=0),"",M71/J71)</f>
        <v/>
      </c>
      <c r="O71" s="23" t="n"/>
      <c r="P71" s="24">
        <f>SUMIF('Réceptions'!$C$5:$C$504,$B71,'Réceptions'!$E$5:$E$504)</f>
        <v/>
      </c>
      <c r="Q71" s="24">
        <f>SUMIF('Ventes'!$D$5:$D$504,$B71,'Ventes'!$F$5:$F$504)</f>
        <v/>
      </c>
      <c r="R71" s="24">
        <f>IF(O71="","",O71+P71-Q71)</f>
        <v/>
      </c>
      <c r="S71" s="17" t="inlineStr">
        <is>
          <t>Prix de vente et stock initial à compléter.</t>
        </is>
      </c>
      <c r="T71" s="17" t="inlineStr">
        <is>
          <t>n°72 p.2</t>
        </is>
      </c>
    </row>
    <row r="72" ht="34" customHeight="1">
      <c r="A72" s="14" t="inlineStr">
        <is>
          <t>Ouvrir photo</t>
        </is>
      </c>
      <c r="B72" s="15" t="inlineStr">
        <is>
          <t>CANON069N</t>
        </is>
      </c>
      <c r="C72" s="16" t="inlineStr">
        <is>
          <t>Canon</t>
        </is>
      </c>
      <c r="D72" s="17" t="inlineStr">
        <is>
          <t>Cartouche / toner imprimante</t>
        </is>
      </c>
      <c r="E72" s="17" t="inlineStr">
        <is>
          <t>Noir (suffixe N à confirmer)</t>
        </is>
      </c>
      <c r="F72" s="17" t="inlineStr">
        <is>
          <t>Cartouche/toner Canon — CANON069N (noir)</t>
        </is>
      </c>
      <c r="G72" s="16" t="inlineStr">
        <is>
          <t>Original (selon votre confirmation)</t>
        </is>
      </c>
      <c r="H72" s="18" t="n">
        <v>14000</v>
      </c>
      <c r="I72" s="18" t="n"/>
      <c r="J72" s="19" t="n"/>
      <c r="K72" s="18" t="n"/>
      <c r="L72" s="17" t="n"/>
      <c r="M72" s="21">
        <f>IF(OR(J72="",H72=""),"",J72-H72)</f>
        <v/>
      </c>
      <c r="N72" s="22">
        <f>IF(OR(J72="",H72="",J72=0),"",M72/J72)</f>
        <v/>
      </c>
      <c r="O72" s="23" t="n"/>
      <c r="P72" s="24">
        <f>SUMIF('Réceptions'!$C$5:$C$504,$B72,'Réceptions'!$E$5:$E$504)</f>
        <v/>
      </c>
      <c r="Q72" s="24">
        <f>SUMIF('Ventes'!$D$5:$D$504,$B72,'Ventes'!$F$5:$F$504)</f>
        <v/>
      </c>
      <c r="R72" s="24">
        <f>IF(O72="","",O72+P72-Q72)</f>
        <v/>
      </c>
      <c r="S72" s="17" t="inlineStr">
        <is>
          <t>Prix de vente et stock initial à compléter.</t>
        </is>
      </c>
      <c r="T72" s="17" t="inlineStr">
        <is>
          <t>n°73 p.2</t>
        </is>
      </c>
    </row>
    <row r="73" ht="34" customHeight="1">
      <c r="A73" s="14" t="inlineStr">
        <is>
          <t>Ouvrir photo</t>
        </is>
      </c>
      <c r="B73" s="15" t="inlineStr">
        <is>
          <t>CANON069C</t>
        </is>
      </c>
      <c r="C73" s="16" t="inlineStr">
        <is>
          <t>Canon</t>
        </is>
      </c>
      <c r="D73" s="17" t="inlineStr">
        <is>
          <t>Cartouche / toner imprimante</t>
        </is>
      </c>
      <c r="E73" s="17" t="inlineStr">
        <is>
          <t>Cyan/couleur (suffixe C à confirmer)</t>
        </is>
      </c>
      <c r="F73" s="17" t="inlineStr">
        <is>
          <t>Cartouche/toner Canon — CANON069C (cyan / couleur)</t>
        </is>
      </c>
      <c r="G73" s="16" t="inlineStr">
        <is>
          <t>Original (selon votre confirmation)</t>
        </is>
      </c>
      <c r="H73" s="18" t="n">
        <v>14000</v>
      </c>
      <c r="I73" s="18" t="n"/>
      <c r="J73" s="19" t="n"/>
      <c r="K73" s="18" t="n"/>
      <c r="L73" s="17" t="n"/>
      <c r="M73" s="21">
        <f>IF(OR(J73="",H73=""),"",J73-H73)</f>
        <v/>
      </c>
      <c r="N73" s="22">
        <f>IF(OR(J73="",H73="",J73=0),"",M73/J73)</f>
        <v/>
      </c>
      <c r="O73" s="23" t="n"/>
      <c r="P73" s="24">
        <f>SUMIF('Réceptions'!$C$5:$C$504,$B73,'Réceptions'!$E$5:$E$504)</f>
        <v/>
      </c>
      <c r="Q73" s="24">
        <f>SUMIF('Ventes'!$D$5:$D$504,$B73,'Ventes'!$F$5:$F$504)</f>
        <v/>
      </c>
      <c r="R73" s="24">
        <f>IF(O73="","",O73+P73-Q73)</f>
        <v/>
      </c>
      <c r="S73" s="17" t="inlineStr">
        <is>
          <t>Aucune photo OEM couleur fiable trouvée; à compléter avec une photo fournisseur ou constructeur. Photo exacte non trouvée; visuel à ajouter.</t>
        </is>
      </c>
      <c r="T73" s="17" t="inlineStr">
        <is>
          <t>n°74 p.2</t>
        </is>
      </c>
    </row>
    <row r="74" ht="34" customHeight="1">
      <c r="A74" s="14" t="inlineStr">
        <is>
          <t>Ouvrir photo</t>
        </is>
      </c>
      <c r="B74" s="15" t="inlineStr">
        <is>
          <t>CANON070</t>
        </is>
      </c>
      <c r="C74" s="16" t="inlineStr">
        <is>
          <t>Canon</t>
        </is>
      </c>
      <c r="D74" s="17" t="inlineStr">
        <is>
          <t>Cartouche / toner imprimante</t>
        </is>
      </c>
      <c r="E74" s="17" t="inlineStr">
        <is>
          <t>Non précisée dans la source</t>
        </is>
      </c>
      <c r="F74" s="17" t="inlineStr">
        <is>
          <t>Cartouche/toner Canon — CANON070 (couleur à préciser)</t>
        </is>
      </c>
      <c r="G74" s="16" t="inlineStr">
        <is>
          <t>Original (selon votre confirmation)</t>
        </is>
      </c>
      <c r="H74" s="18" t="n">
        <v>14000</v>
      </c>
      <c r="I74" s="18" t="n"/>
      <c r="J74" s="19" t="n"/>
      <c r="K74" s="18" t="n"/>
      <c r="L74" s="17" t="n"/>
      <c r="M74" s="21">
        <f>IF(OR(J74="",H74=""),"",J74-H74)</f>
        <v/>
      </c>
      <c r="N74" s="22">
        <f>IF(OR(J74="",H74="",J74=0),"",M74/J74)</f>
        <v/>
      </c>
      <c r="O74" s="23" t="n"/>
      <c r="P74" s="24">
        <f>SUMIF('Réceptions'!$C$5:$C$504,$B74,'Réceptions'!$E$5:$E$504)</f>
        <v/>
      </c>
      <c r="Q74" s="24">
        <f>SUMIF('Ventes'!$D$5:$D$504,$B74,'Ventes'!$F$5:$F$504)</f>
        <v/>
      </c>
      <c r="R74" s="24">
        <f>IF(O74="","",O74+P74-Q74)</f>
        <v/>
      </c>
      <c r="S74" s="17" t="inlineStr">
        <is>
          <t>Prix de vente et stock initial à compléter.</t>
        </is>
      </c>
      <c r="T74" s="17" t="inlineStr">
        <is>
          <t>n°75 p.2</t>
        </is>
      </c>
    </row>
    <row r="75" ht="34" customHeight="1">
      <c r="A75" s="14" t="inlineStr">
        <is>
          <t>Ouvrir photo</t>
        </is>
      </c>
      <c r="B75" s="15" t="inlineStr">
        <is>
          <t>CANON071</t>
        </is>
      </c>
      <c r="C75" s="16" t="inlineStr">
        <is>
          <t>Canon</t>
        </is>
      </c>
      <c r="D75" s="17" t="inlineStr">
        <is>
          <t>Cartouche / toner imprimante</t>
        </is>
      </c>
      <c r="E75" s="17" t="inlineStr">
        <is>
          <t>Non précisée dans la source</t>
        </is>
      </c>
      <c r="F75" s="17" t="inlineStr">
        <is>
          <t>Cartouche/toner Canon — CANON071 (couleur à préciser)</t>
        </is>
      </c>
      <c r="G75" s="16" t="inlineStr">
        <is>
          <t>Original (selon votre confirmation)</t>
        </is>
      </c>
      <c r="H75" s="18" t="n">
        <v>13000</v>
      </c>
      <c r="I75" s="18" t="n"/>
      <c r="J75" s="19" t="n"/>
      <c r="K75" s="18" t="n"/>
      <c r="L75" s="17" t="n"/>
      <c r="M75" s="21">
        <f>IF(OR(J75="",H75=""),"",J75-H75)</f>
        <v/>
      </c>
      <c r="N75" s="22">
        <f>IF(OR(J75="",H75="",J75=0),"",M75/J75)</f>
        <v/>
      </c>
      <c r="O75" s="23" t="n"/>
      <c r="P75" s="24">
        <f>SUMIF('Réceptions'!$C$5:$C$504,$B75,'Réceptions'!$E$5:$E$504)</f>
        <v/>
      </c>
      <c r="Q75" s="24">
        <f>SUMIF('Ventes'!$D$5:$D$504,$B75,'Ventes'!$F$5:$F$504)</f>
        <v/>
      </c>
      <c r="R75" s="24">
        <f>IF(O75="","",O75+P75-Q75)</f>
        <v/>
      </c>
      <c r="S75" s="17" t="inlineStr">
        <is>
          <t>Prix de vente et stock initial à compléter.</t>
        </is>
      </c>
      <c r="T75" s="17" t="inlineStr">
        <is>
          <t>n°76 p.2</t>
        </is>
      </c>
    </row>
    <row r="76" ht="34" customHeight="1">
      <c r="A76" s="14" t="inlineStr">
        <is>
          <t>Ouvrir photo</t>
        </is>
      </c>
      <c r="B76" s="15" t="inlineStr">
        <is>
          <t>CANON725</t>
        </is>
      </c>
      <c r="C76" s="16" t="inlineStr">
        <is>
          <t>Canon</t>
        </is>
      </c>
      <c r="D76" s="17" t="inlineStr">
        <is>
          <t>Cartouche / toner imprimante</t>
        </is>
      </c>
      <c r="E76" s="17" t="inlineStr">
        <is>
          <t>Non précisée dans la source</t>
        </is>
      </c>
      <c r="F76" s="17" t="inlineStr">
        <is>
          <t>Cartouche/toner Canon — CANON725 (couleur à préciser)</t>
        </is>
      </c>
      <c r="G76" s="16" t="inlineStr">
        <is>
          <t>Original (selon votre confirmation)</t>
        </is>
      </c>
      <c r="H76" s="18" t="n">
        <v>3800</v>
      </c>
      <c r="I76" s="18" t="n"/>
      <c r="J76" s="19" t="n"/>
      <c r="K76" s="18" t="n"/>
      <c r="L76" s="17" t="n"/>
      <c r="M76" s="21">
        <f>IF(OR(J76="",H76=""),"",J76-H76)</f>
        <v/>
      </c>
      <c r="N76" s="22">
        <f>IF(OR(J76="",H76="",J76=0),"",M76/J76)</f>
        <v/>
      </c>
      <c r="O76" s="23" t="n"/>
      <c r="P76" s="24">
        <f>SUMIF('Réceptions'!$C$5:$C$504,$B76,'Réceptions'!$E$5:$E$504)</f>
        <v/>
      </c>
      <c r="Q76" s="24">
        <f>SUMIF('Ventes'!$D$5:$D$504,$B76,'Ventes'!$F$5:$F$504)</f>
        <v/>
      </c>
      <c r="R76" s="24">
        <f>IF(O76="","",O76+P76-Q76)</f>
        <v/>
      </c>
      <c r="S76" s="17" t="inlineStr">
        <is>
          <t>Prix de vente et stock initial à compléter.</t>
        </is>
      </c>
      <c r="T76" s="17" t="inlineStr">
        <is>
          <t>n°77 p.2</t>
        </is>
      </c>
    </row>
    <row r="77" ht="34" customHeight="1">
      <c r="A77" s="14" t="inlineStr">
        <is>
          <t>Ouvrir photo</t>
        </is>
      </c>
      <c r="B77" s="15" t="inlineStr">
        <is>
          <t>CANON719</t>
        </is>
      </c>
      <c r="C77" s="16" t="inlineStr">
        <is>
          <t>Canon</t>
        </is>
      </c>
      <c r="D77" s="17" t="inlineStr">
        <is>
          <t>Cartouche / toner imprimante</t>
        </is>
      </c>
      <c r="E77" s="17" t="inlineStr">
        <is>
          <t>Non précisée dans la source</t>
        </is>
      </c>
      <c r="F77" s="17" t="inlineStr">
        <is>
          <t>Cartouche/toner Canon — CANON719 (couleur à préciser)</t>
        </is>
      </c>
      <c r="G77" s="16" t="inlineStr">
        <is>
          <t>Original (selon votre confirmation)</t>
        </is>
      </c>
      <c r="H77" s="18" t="n">
        <v>5000</v>
      </c>
      <c r="I77" s="18" t="n"/>
      <c r="J77" s="19" t="n"/>
      <c r="K77" s="18" t="n"/>
      <c r="L77" s="17" t="n"/>
      <c r="M77" s="21">
        <f>IF(OR(J77="",H77=""),"",J77-H77)</f>
        <v/>
      </c>
      <c r="N77" s="22">
        <f>IF(OR(J77="",H77="",J77=0),"",M77/J77)</f>
        <v/>
      </c>
      <c r="O77" s="23" t="n"/>
      <c r="P77" s="24">
        <f>SUMIF('Réceptions'!$C$5:$C$504,$B77,'Réceptions'!$E$5:$E$504)</f>
        <v/>
      </c>
      <c r="Q77" s="24">
        <f>SUMIF('Ventes'!$D$5:$D$504,$B77,'Ventes'!$F$5:$F$504)</f>
        <v/>
      </c>
      <c r="R77" s="24">
        <f>IF(O77="","",O77+P77-Q77)</f>
        <v/>
      </c>
      <c r="S77" s="25" t="inlineStr">
        <is>
          <t>Visuel de la référence Canon 119 / 3479B001, souvent équivalente à 719 selon marché; confirmer la compatibilité exacte.</t>
        </is>
      </c>
      <c r="T77" s="17" t="inlineStr">
        <is>
          <t>n°78 p.2</t>
        </is>
      </c>
    </row>
    <row r="78" ht="34" customHeight="1">
      <c r="A78" s="14" t="inlineStr">
        <is>
          <t>Ouvrir photo</t>
        </is>
      </c>
      <c r="B78" s="15" t="inlineStr">
        <is>
          <t>CANN047</t>
        </is>
      </c>
      <c r="C78" s="16" t="inlineStr">
        <is>
          <t>Canon</t>
        </is>
      </c>
      <c r="D78" s="17" t="inlineStr">
        <is>
          <t>Cartouche / toner imprimante</t>
        </is>
      </c>
      <c r="E78" s="17" t="inlineStr">
        <is>
          <t>Non précisée dans la source</t>
        </is>
      </c>
      <c r="F78" s="17" t="inlineStr">
        <is>
          <t>Cartouche/toner Canon — CANN047 (couleur à préciser)</t>
        </is>
      </c>
      <c r="G78" s="16" t="inlineStr">
        <is>
          <t>Original (selon votre confirmation)</t>
        </is>
      </c>
      <c r="H78" s="18" t="n">
        <v>20000</v>
      </c>
      <c r="I78" s="18" t="n"/>
      <c r="J78" s="19" t="n"/>
      <c r="K78" s="18" t="n"/>
      <c r="L78" s="17" t="n"/>
      <c r="M78" s="21">
        <f>IF(OR(J78="",H78=""),"",J78-H78)</f>
        <v/>
      </c>
      <c r="N78" s="22">
        <f>IF(OR(J78="",H78="",J78=0),"",M78/J78)</f>
        <v/>
      </c>
      <c r="O78" s="23" t="n"/>
      <c r="P78" s="24">
        <f>SUMIF('Réceptions'!$C$5:$C$504,$B78,'Réceptions'!$E$5:$E$504)</f>
        <v/>
      </c>
      <c r="Q78" s="24">
        <f>SUMIF('Ventes'!$D$5:$D$504,$B78,'Ventes'!$F$5:$F$504)</f>
        <v/>
      </c>
      <c r="R78" s="24">
        <f>IF(O78="","",O78+P78-Q78)</f>
        <v/>
      </c>
      <c r="S78" s="25" t="inlineStr">
        <is>
          <t>Code retranscrit tel qu’imprimé (« CANN047 »); visuel trouvé pour Canon 047. Confirmer l’orthographe.</t>
        </is>
      </c>
      <c r="T78" s="17" t="inlineStr">
        <is>
          <t>n°79 p.2</t>
        </is>
      </c>
    </row>
    <row r="79" ht="34" customHeight="1">
      <c r="A79" s="14" t="inlineStr">
        <is>
          <t>Ouvrir photo</t>
        </is>
      </c>
      <c r="B79" s="15" t="inlineStr">
        <is>
          <t>CANON052</t>
        </is>
      </c>
      <c r="C79" s="16" t="inlineStr">
        <is>
          <t>Canon</t>
        </is>
      </c>
      <c r="D79" s="17" t="inlineStr">
        <is>
          <t>Cartouche / toner imprimante</t>
        </is>
      </c>
      <c r="E79" s="17" t="inlineStr">
        <is>
          <t>Non précisée dans la source</t>
        </is>
      </c>
      <c r="F79" s="17" t="inlineStr">
        <is>
          <t>Cartouche/toner Canon — CANON052 (couleur à préciser)</t>
        </is>
      </c>
      <c r="G79" s="16" t="inlineStr">
        <is>
          <t>Original (selon votre confirmation)</t>
        </is>
      </c>
      <c r="H79" s="18" t="n">
        <v>9000</v>
      </c>
      <c r="I79" s="18" t="n"/>
      <c r="J79" s="19" t="n"/>
      <c r="K79" s="18" t="n"/>
      <c r="L79" s="17" t="n"/>
      <c r="M79" s="21">
        <f>IF(OR(J79="",H79=""),"",J79-H79)</f>
        <v/>
      </c>
      <c r="N79" s="22">
        <f>IF(OR(J79="",H79="",J79=0),"",M79/J79)</f>
        <v/>
      </c>
      <c r="O79" s="23" t="n"/>
      <c r="P79" s="24">
        <f>SUMIF('Réceptions'!$C$5:$C$504,$B79,'Réceptions'!$E$5:$E$504)</f>
        <v/>
      </c>
      <c r="Q79" s="24">
        <f>SUMIF('Ventes'!$D$5:$D$504,$B79,'Ventes'!$F$5:$F$504)</f>
        <v/>
      </c>
      <c r="R79" s="24">
        <f>IF(O79="","",O79+P79-Q79)</f>
        <v/>
      </c>
      <c r="S79" s="17" t="inlineStr">
        <is>
          <t>Aucune photo OEM suffisamment vérifiable trouvée; à compléter. Photo exacte non trouvée; visuel à ajouter.</t>
        </is>
      </c>
      <c r="T79" s="17" t="inlineStr">
        <is>
          <t>n°80 p.2</t>
        </is>
      </c>
    </row>
    <row r="80" ht="34" customHeight="1">
      <c r="A80" s="14" t="inlineStr">
        <is>
          <t>Ouvrir photo</t>
        </is>
      </c>
      <c r="B80" s="15" t="inlineStr">
        <is>
          <t>CANON057</t>
        </is>
      </c>
      <c r="C80" s="16" t="inlineStr">
        <is>
          <t>Canon</t>
        </is>
      </c>
      <c r="D80" s="17" t="inlineStr">
        <is>
          <t>Cartouche / toner imprimante</t>
        </is>
      </c>
      <c r="E80" s="17" t="inlineStr">
        <is>
          <t>Non précisée dans la source</t>
        </is>
      </c>
      <c r="F80" s="17" t="inlineStr">
        <is>
          <t>Cartouche/toner Canon — CANON057 (couleur à préciser)</t>
        </is>
      </c>
      <c r="G80" s="16" t="inlineStr">
        <is>
          <t>Original (selon votre confirmation)</t>
        </is>
      </c>
      <c r="H80" s="18" t="n">
        <v>13000</v>
      </c>
      <c r="I80" s="18" t="n"/>
      <c r="J80" s="19" t="n"/>
      <c r="K80" s="18" t="n"/>
      <c r="L80" s="17" t="n"/>
      <c r="M80" s="21">
        <f>IF(OR(J80="",H80=""),"",J80-H80)</f>
        <v/>
      </c>
      <c r="N80" s="22">
        <f>IF(OR(J80="",H80="",J80=0),"",M80/J80)</f>
        <v/>
      </c>
      <c r="O80" s="23" t="n"/>
      <c r="P80" s="24">
        <f>SUMIF('Réceptions'!$C$5:$C$504,$B80,'Réceptions'!$E$5:$E$504)</f>
        <v/>
      </c>
      <c r="Q80" s="24">
        <f>SUMIF('Ventes'!$D$5:$D$504,$B80,'Ventes'!$F$5:$F$504)</f>
        <v/>
      </c>
      <c r="R80" s="24">
        <f>IF(O80="","",O80+P80-Q80)</f>
        <v/>
      </c>
      <c r="S80" s="17" t="inlineStr">
        <is>
          <t>Prix de vente et stock initial à compléter.</t>
        </is>
      </c>
      <c r="T80" s="17" t="inlineStr">
        <is>
          <t>n°81 p.2</t>
        </is>
      </c>
    </row>
    <row r="81" ht="34" customHeight="1">
      <c r="A81" s="14" t="inlineStr">
        <is>
          <t>Ouvrir photo</t>
        </is>
      </c>
      <c r="B81" s="15" t="inlineStr">
        <is>
          <t>CANON728</t>
        </is>
      </c>
      <c r="C81" s="16" t="inlineStr">
        <is>
          <t>Canon</t>
        </is>
      </c>
      <c r="D81" s="17" t="inlineStr">
        <is>
          <t>Cartouche / toner imprimante</t>
        </is>
      </c>
      <c r="E81" s="17" t="inlineStr">
        <is>
          <t>Non précisée dans la source</t>
        </is>
      </c>
      <c r="F81" s="17" t="inlineStr">
        <is>
          <t>Cartouche/toner Canon — CANON728 (couleur à préciser)</t>
        </is>
      </c>
      <c r="G81" s="16" t="inlineStr">
        <is>
          <t>Original (selon votre confirmation)</t>
        </is>
      </c>
      <c r="H81" s="18" t="n">
        <v>4000</v>
      </c>
      <c r="I81" s="18" t="n"/>
      <c r="J81" s="19" t="n"/>
      <c r="K81" s="18" t="n"/>
      <c r="L81" s="17" t="n"/>
      <c r="M81" s="21">
        <f>IF(OR(J81="",H81=""),"",J81-H81)</f>
        <v/>
      </c>
      <c r="N81" s="22">
        <f>IF(OR(J81="",H81="",J81=0),"",M81/J81)</f>
        <v/>
      </c>
      <c r="O81" s="23" t="n"/>
      <c r="P81" s="24">
        <f>SUMIF('Réceptions'!$C$5:$C$504,$B81,'Réceptions'!$E$5:$E$504)</f>
        <v/>
      </c>
      <c r="Q81" s="24">
        <f>SUMIF('Ventes'!$D$5:$D$504,$B81,'Ventes'!$F$5:$F$504)</f>
        <v/>
      </c>
      <c r="R81" s="24">
        <f>IF(O81="","",O81+P81-Q81)</f>
        <v/>
      </c>
      <c r="S81" s="17" t="inlineStr">
        <is>
          <t>Prix de vente et stock initial à compléter.</t>
        </is>
      </c>
      <c r="T81" s="17" t="inlineStr">
        <is>
          <t>n°82 p.2</t>
        </is>
      </c>
    </row>
    <row r="82" ht="34" customHeight="1">
      <c r="A82" s="14" t="inlineStr">
        <is>
          <t>Ouvrir photo</t>
        </is>
      </c>
      <c r="B82" s="15" t="inlineStr">
        <is>
          <t>CEXVV28N</t>
        </is>
      </c>
      <c r="C82" s="16" t="inlineStr">
        <is>
          <t>Canon / copieur (à confirmer)</t>
        </is>
      </c>
      <c r="D82" s="17" t="inlineStr">
        <is>
          <t>Toner photocopieur</t>
        </is>
      </c>
      <c r="E82" s="17" t="inlineStr">
        <is>
          <t>Noir (suffixe N à confirmer)</t>
        </is>
      </c>
      <c r="F82" s="17" t="inlineStr">
        <is>
          <t>Toner photocopieur Canon — CEXVV28N (noir)</t>
        </is>
      </c>
      <c r="G82" s="16" t="inlineStr">
        <is>
          <t>Original (selon votre confirmation)</t>
        </is>
      </c>
      <c r="H82" s="18" t="n">
        <v>17000</v>
      </c>
      <c r="I82" s="18" t="n"/>
      <c r="J82" s="19" t="n"/>
      <c r="K82" s="18" t="n"/>
      <c r="L82" s="17" t="n"/>
      <c r="M82" s="21">
        <f>IF(OR(J82="",H82=""),"",J82-H82)</f>
        <v/>
      </c>
      <c r="N82" s="22">
        <f>IF(OR(J82="",H82="",J82=0),"",M82/J82)</f>
        <v/>
      </c>
      <c r="O82" s="23" t="n"/>
      <c r="P82" s="24">
        <f>SUMIF('Réceptions'!$C$5:$C$504,$B82,'Réceptions'!$E$5:$E$504)</f>
        <v/>
      </c>
      <c r="Q82" s="24">
        <f>SUMIF('Ventes'!$D$5:$D$504,$B82,'Ventes'!$F$5:$F$504)</f>
        <v/>
      </c>
      <c r="R82" s="24">
        <f>IF(O82="","",O82+P82-Q82)</f>
        <v/>
      </c>
      <c r="S82" s="25" t="inlineStr">
        <is>
          <t>Code retranscrit tel qu’imprimé (« CEXVV28N »); visuel trouvé pour C-EXV28 noir. Confirmer le code exact.</t>
        </is>
      </c>
      <c r="T82" s="17" t="inlineStr">
        <is>
          <t>n°83 p.2</t>
        </is>
      </c>
    </row>
    <row r="83" ht="34" customHeight="1">
      <c r="A83" s="14" t="inlineStr">
        <is>
          <t>Ouvrir photo</t>
        </is>
      </c>
      <c r="B83" s="15" t="inlineStr">
        <is>
          <t>CEXV28C</t>
        </is>
      </c>
      <c r="C83" s="16" t="inlineStr">
        <is>
          <t>Canon / copieur (à confirmer)</t>
        </is>
      </c>
      <c r="D83" s="17" t="inlineStr">
        <is>
          <t>Toner photocopieur</t>
        </is>
      </c>
      <c r="E83" s="17" t="inlineStr">
        <is>
          <t>Cyan/couleur (suffixe C à confirmer)</t>
        </is>
      </c>
      <c r="F83" s="17" t="inlineStr">
        <is>
          <t>Toner photocopieur Canon — CEXV28C (cyan / couleur)</t>
        </is>
      </c>
      <c r="G83" s="16" t="inlineStr">
        <is>
          <t>Original (selon votre confirmation)</t>
        </is>
      </c>
      <c r="H83" s="18" t="n">
        <v>17000</v>
      </c>
      <c r="I83" s="18" t="n"/>
      <c r="J83" s="19" t="n"/>
      <c r="K83" s="18" t="n"/>
      <c r="L83" s="17" t="n"/>
      <c r="M83" s="21">
        <f>IF(OR(J83="",H83=""),"",J83-H83)</f>
        <v/>
      </c>
      <c r="N83" s="22">
        <f>IF(OR(J83="",H83="",J83=0),"",M83/J83)</f>
        <v/>
      </c>
      <c r="O83" s="23" t="n"/>
      <c r="P83" s="24">
        <f>SUMIF('Réceptions'!$C$5:$C$504,$B83,'Réceptions'!$E$5:$E$504)</f>
        <v/>
      </c>
      <c r="Q83" s="24">
        <f>SUMIF('Ventes'!$D$5:$D$504,$B83,'Ventes'!$F$5:$F$504)</f>
        <v/>
      </c>
      <c r="R83" s="24">
        <f>IF(O83="","",O83+P83-Q83)</f>
        <v/>
      </c>
      <c r="S83" s="17" t="inlineStr">
        <is>
          <t>Prix de vente et stock initial à compléter.</t>
        </is>
      </c>
      <c r="T83" s="17" t="inlineStr">
        <is>
          <t>n°84 p.2</t>
        </is>
      </c>
    </row>
    <row r="84" ht="34" customHeight="1">
      <c r="A84" s="14" t="inlineStr">
        <is>
          <t>Ouvrir photo</t>
        </is>
      </c>
      <c r="B84" s="15" t="inlineStr">
        <is>
          <t>CEXV29N</t>
        </is>
      </c>
      <c r="C84" s="16" t="inlineStr">
        <is>
          <t>Canon / copieur (à confirmer)</t>
        </is>
      </c>
      <c r="D84" s="17" t="inlineStr">
        <is>
          <t>Toner photocopieur</t>
        </is>
      </c>
      <c r="E84" s="17" t="inlineStr">
        <is>
          <t>Noir (suffixe N à confirmer)</t>
        </is>
      </c>
      <c r="F84" s="17" t="inlineStr">
        <is>
          <t>Toner photocopieur Canon — CEXV29N (noir)</t>
        </is>
      </c>
      <c r="G84" s="16" t="inlineStr">
        <is>
          <t>Original (selon votre confirmation)</t>
        </is>
      </c>
      <c r="H84" s="18" t="n">
        <v>17000</v>
      </c>
      <c r="I84" s="18" t="n"/>
      <c r="J84" s="19" t="n"/>
      <c r="K84" s="18" t="n"/>
      <c r="L84" s="17" t="n"/>
      <c r="M84" s="21">
        <f>IF(OR(J84="",H84=""),"",J84-H84)</f>
        <v/>
      </c>
      <c r="N84" s="22">
        <f>IF(OR(J84="",H84="",J84=0),"",M84/J84)</f>
        <v/>
      </c>
      <c r="O84" s="23" t="n"/>
      <c r="P84" s="24">
        <f>SUMIF('Réceptions'!$C$5:$C$504,$B84,'Réceptions'!$E$5:$E$504)</f>
        <v/>
      </c>
      <c r="Q84" s="24">
        <f>SUMIF('Ventes'!$D$5:$D$504,$B84,'Ventes'!$F$5:$F$504)</f>
        <v/>
      </c>
      <c r="R84" s="24">
        <f>IF(O84="","",O84+P84-Q84)</f>
        <v/>
      </c>
      <c r="S84" s="17" t="inlineStr">
        <is>
          <t>Prix de vente et stock initial à compléter.</t>
        </is>
      </c>
      <c r="T84" s="17" t="inlineStr">
        <is>
          <t>n°85 p.2</t>
        </is>
      </c>
    </row>
    <row r="85" ht="34" customHeight="1">
      <c r="A85" s="14" t="inlineStr">
        <is>
          <t>Ouvrir photo</t>
        </is>
      </c>
      <c r="B85" s="15" t="inlineStr">
        <is>
          <t>CEXV29C</t>
        </is>
      </c>
      <c r="C85" s="16" t="inlineStr">
        <is>
          <t>Canon / copieur (à confirmer)</t>
        </is>
      </c>
      <c r="D85" s="17" t="inlineStr">
        <is>
          <t>Toner photocopieur</t>
        </is>
      </c>
      <c r="E85" s="17" t="inlineStr">
        <is>
          <t>Cyan/couleur (suffixe C à confirmer)</t>
        </is>
      </c>
      <c r="F85" s="17" t="inlineStr">
        <is>
          <t>Toner photocopieur Canon — CEXV29C (cyan / couleur)</t>
        </is>
      </c>
      <c r="G85" s="16" t="inlineStr">
        <is>
          <t>Original (selon votre confirmation)</t>
        </is>
      </c>
      <c r="H85" s="18" t="n">
        <v>17000</v>
      </c>
      <c r="I85" s="18" t="n"/>
      <c r="J85" s="19" t="n"/>
      <c r="K85" s="18" t="n"/>
      <c r="L85" s="17" t="n"/>
      <c r="M85" s="21">
        <f>IF(OR(J85="",H85=""),"",J85-H85)</f>
        <v/>
      </c>
      <c r="N85" s="22">
        <f>IF(OR(J85="",H85="",J85=0),"",M85/J85)</f>
        <v/>
      </c>
      <c r="O85" s="23" t="n"/>
      <c r="P85" s="24">
        <f>SUMIF('Réceptions'!$C$5:$C$504,$B85,'Réceptions'!$E$5:$E$504)</f>
        <v/>
      </c>
      <c r="Q85" s="24">
        <f>SUMIF('Ventes'!$D$5:$D$504,$B85,'Ventes'!$F$5:$F$504)</f>
        <v/>
      </c>
      <c r="R85" s="24">
        <f>IF(O85="","",O85+P85-Q85)</f>
        <v/>
      </c>
      <c r="S85" s="17" t="inlineStr">
        <is>
          <t>Prix de vente et stock initial à compléter.</t>
        </is>
      </c>
      <c r="T85" s="17" t="inlineStr">
        <is>
          <t>n°86 p.2</t>
        </is>
      </c>
    </row>
    <row r="86" ht="34" customHeight="1">
      <c r="A86" s="14" t="inlineStr">
        <is>
          <t>Ouvrir photo</t>
        </is>
      </c>
      <c r="B86" s="15" t="inlineStr">
        <is>
          <t>CEXV33</t>
        </is>
      </c>
      <c r="C86" s="16" t="inlineStr">
        <is>
          <t>Canon / copieur (à confirmer)</t>
        </is>
      </c>
      <c r="D86" s="17" t="inlineStr">
        <is>
          <t>Toner photocopieur</t>
        </is>
      </c>
      <c r="E86" s="17" t="inlineStr">
        <is>
          <t>Non précisée dans la source</t>
        </is>
      </c>
      <c r="F86" s="17" t="inlineStr">
        <is>
          <t>Toner photocopieur Canon — CEXV33 (couleur à préciser)</t>
        </is>
      </c>
      <c r="G86" s="16" t="inlineStr">
        <is>
          <t>Original (selon votre confirmation)</t>
        </is>
      </c>
      <c r="H86" s="18" t="n">
        <v>4000</v>
      </c>
      <c r="I86" s="18" t="n"/>
      <c r="J86" s="19" t="n"/>
      <c r="K86" s="18" t="n"/>
      <c r="L86" s="17" t="n"/>
      <c r="M86" s="21">
        <f>IF(OR(J86="",H86=""),"",J86-H86)</f>
        <v/>
      </c>
      <c r="N86" s="22">
        <f>IF(OR(J86="",H86="",J86=0),"",M86/J86)</f>
        <v/>
      </c>
      <c r="O86" s="23" t="n"/>
      <c r="P86" s="24">
        <f>SUMIF('Réceptions'!$C$5:$C$504,$B86,'Réceptions'!$E$5:$E$504)</f>
        <v/>
      </c>
      <c r="Q86" s="24">
        <f>SUMIF('Ventes'!$D$5:$D$504,$B86,'Ventes'!$F$5:$F$504)</f>
        <v/>
      </c>
      <c r="R86" s="24">
        <f>IF(O86="","",O86+P86-Q86)</f>
        <v/>
      </c>
      <c r="S86" s="17" t="inlineStr">
        <is>
          <t>Prix de vente et stock initial à compléter.</t>
        </is>
      </c>
      <c r="T86" s="17" t="inlineStr">
        <is>
          <t>n°87 p.2</t>
        </is>
      </c>
    </row>
    <row r="87" ht="34" customHeight="1">
      <c r="A87" s="14" t="inlineStr">
        <is>
          <t>Ouvrir photo</t>
        </is>
      </c>
      <c r="B87" s="15" t="inlineStr">
        <is>
          <t>CEXV42</t>
        </is>
      </c>
      <c r="C87" s="16" t="inlineStr">
        <is>
          <t>Canon / copieur (à confirmer)</t>
        </is>
      </c>
      <c r="D87" s="17" t="inlineStr">
        <is>
          <t>Toner photocopieur</t>
        </is>
      </c>
      <c r="E87" s="17" t="inlineStr">
        <is>
          <t>Non précisée dans la source</t>
        </is>
      </c>
      <c r="F87" s="17" t="inlineStr">
        <is>
          <t>Toner photocopieur Canon — CEXV42 (couleur à préciser)</t>
        </is>
      </c>
      <c r="G87" s="16" t="inlineStr">
        <is>
          <t>Original (selon votre confirmation)</t>
        </is>
      </c>
      <c r="H87" s="18" t="n">
        <v>4000</v>
      </c>
      <c r="I87" s="18" t="n"/>
      <c r="J87" s="19" t="n"/>
      <c r="K87" s="18" t="n"/>
      <c r="L87" s="17" t="n"/>
      <c r="M87" s="21">
        <f>IF(OR(J87="",H87=""),"",J87-H87)</f>
        <v/>
      </c>
      <c r="N87" s="22">
        <f>IF(OR(J87="",H87="",J87=0),"",M87/J87)</f>
        <v/>
      </c>
      <c r="O87" s="23" t="n"/>
      <c r="P87" s="24">
        <f>SUMIF('Réceptions'!$C$5:$C$504,$B87,'Réceptions'!$E$5:$E$504)</f>
        <v/>
      </c>
      <c r="Q87" s="24">
        <f>SUMIF('Ventes'!$D$5:$D$504,$B87,'Ventes'!$F$5:$F$504)</f>
        <v/>
      </c>
      <c r="R87" s="24">
        <f>IF(O87="","",O87+P87-Q87)</f>
        <v/>
      </c>
      <c r="S87" s="17" t="inlineStr">
        <is>
          <t>Prix de vente et stock initial à compléter.</t>
        </is>
      </c>
      <c r="T87" s="17" t="inlineStr">
        <is>
          <t>n°88 p.2</t>
        </is>
      </c>
    </row>
    <row r="88" ht="34" customHeight="1">
      <c r="A88" s="14" t="inlineStr">
        <is>
          <t>Ouvrir photo</t>
        </is>
      </c>
      <c r="B88" s="15" t="inlineStr">
        <is>
          <t>CEXV54</t>
        </is>
      </c>
      <c r="C88" s="16" t="inlineStr">
        <is>
          <t>Canon / copieur (à confirmer)</t>
        </is>
      </c>
      <c r="D88" s="17" t="inlineStr">
        <is>
          <t>Toner photocopieur</t>
        </is>
      </c>
      <c r="E88" s="17" t="inlineStr">
        <is>
          <t>Non précisée dans la source</t>
        </is>
      </c>
      <c r="F88" s="17" t="inlineStr">
        <is>
          <t>Toner photocopieur Canon — CEXV54 (couleur à préciser)</t>
        </is>
      </c>
      <c r="G88" s="16" t="inlineStr">
        <is>
          <t>Original (selon votre confirmation)</t>
        </is>
      </c>
      <c r="H88" s="18" t="n">
        <v>15000</v>
      </c>
      <c r="I88" s="18" t="n"/>
      <c r="J88" s="19" t="n"/>
      <c r="K88" s="18" t="n"/>
      <c r="L88" s="17" t="n"/>
      <c r="M88" s="21">
        <f>IF(OR(J88="",H88=""),"",J88-H88)</f>
        <v/>
      </c>
      <c r="N88" s="22">
        <f>IF(OR(J88="",H88="",J88=0),"",M88/J88)</f>
        <v/>
      </c>
      <c r="O88" s="23" t="n"/>
      <c r="P88" s="24">
        <f>SUMIF('Réceptions'!$C$5:$C$504,$B88,'Réceptions'!$E$5:$E$504)</f>
        <v/>
      </c>
      <c r="Q88" s="24">
        <f>SUMIF('Ventes'!$D$5:$D$504,$B88,'Ventes'!$F$5:$F$504)</f>
        <v/>
      </c>
      <c r="R88" s="24">
        <f>IF(O88="","",O88+P88-Q88)</f>
        <v/>
      </c>
      <c r="S88" s="17" t="inlineStr">
        <is>
          <t>Prix de vente et stock initial à compléter.</t>
        </is>
      </c>
      <c r="T88" s="17" t="inlineStr">
        <is>
          <t>n°89 p.2</t>
        </is>
      </c>
    </row>
    <row r="89" ht="34" customHeight="1">
      <c r="A89" s="14" t="inlineStr">
        <is>
          <t>Ouvrir photo</t>
        </is>
      </c>
      <c r="B89" s="15" t="inlineStr">
        <is>
          <t>CEXV60</t>
        </is>
      </c>
      <c r="C89" s="16" t="inlineStr">
        <is>
          <t>Canon / copieur (à confirmer)</t>
        </is>
      </c>
      <c r="D89" s="17" t="inlineStr">
        <is>
          <t>Toner photocopieur</t>
        </is>
      </c>
      <c r="E89" s="17" t="inlineStr">
        <is>
          <t>Non précisée dans la source</t>
        </is>
      </c>
      <c r="F89" s="17" t="inlineStr">
        <is>
          <t>Toner photocopieur Canon — CEXV60 (couleur à préciser)</t>
        </is>
      </c>
      <c r="G89" s="16" t="inlineStr">
        <is>
          <t>Original (selon votre confirmation)</t>
        </is>
      </c>
      <c r="H89" s="18" t="n">
        <v>4000</v>
      </c>
      <c r="I89" s="18" t="n"/>
      <c r="J89" s="19" t="n"/>
      <c r="K89" s="18" t="n"/>
      <c r="L89" s="17" t="n"/>
      <c r="M89" s="21">
        <f>IF(OR(J89="",H89=""),"",J89-H89)</f>
        <v/>
      </c>
      <c r="N89" s="22">
        <f>IF(OR(J89="",H89="",J89=0),"",M89/J89)</f>
        <v/>
      </c>
      <c r="O89" s="23" t="n"/>
      <c r="P89" s="24">
        <f>SUMIF('Réceptions'!$C$5:$C$504,$B89,'Réceptions'!$E$5:$E$504)</f>
        <v/>
      </c>
      <c r="Q89" s="24">
        <f>SUMIF('Ventes'!$D$5:$D$504,$B89,'Ventes'!$F$5:$F$504)</f>
        <v/>
      </c>
      <c r="R89" s="24">
        <f>IF(O89="","",O89+P89-Q89)</f>
        <v/>
      </c>
      <c r="S89" s="17" t="inlineStr">
        <is>
          <t>Prix de vente et stock initial à compléter.</t>
        </is>
      </c>
      <c r="T89" s="17" t="inlineStr">
        <is>
          <t>n°90 p.2</t>
        </is>
      </c>
    </row>
    <row r="90" ht="34" customHeight="1">
      <c r="A90" s="14" t="inlineStr">
        <is>
          <t>Ouvrir photo</t>
        </is>
      </c>
      <c r="B90" s="15" t="inlineStr">
        <is>
          <t>CEXV65</t>
        </is>
      </c>
      <c r="C90" s="16" t="inlineStr">
        <is>
          <t>Canon / copieur (à confirmer)</t>
        </is>
      </c>
      <c r="D90" s="17" t="inlineStr">
        <is>
          <t>Toner photocopieur</t>
        </is>
      </c>
      <c r="E90" s="17" t="inlineStr">
        <is>
          <t>Non précisée dans la source</t>
        </is>
      </c>
      <c r="F90" s="17" t="inlineStr">
        <is>
          <t>Toner photocopieur Canon — CEXV65 (couleur à préciser)</t>
        </is>
      </c>
      <c r="G90" s="16" t="inlineStr">
        <is>
          <t>Original (selon votre confirmation)</t>
        </is>
      </c>
      <c r="H90" s="18" t="n">
        <v>19000</v>
      </c>
      <c r="I90" s="18" t="n"/>
      <c r="J90" s="19" t="n"/>
      <c r="K90" s="18" t="n"/>
      <c r="L90" s="17" t="n"/>
      <c r="M90" s="21">
        <f>IF(OR(J90="",H90=""),"",J90-H90)</f>
        <v/>
      </c>
      <c r="N90" s="22">
        <f>IF(OR(J90="",H90="",J90=0),"",M90/J90)</f>
        <v/>
      </c>
      <c r="O90" s="23" t="n"/>
      <c r="P90" s="24">
        <f>SUMIF('Réceptions'!$C$5:$C$504,$B90,'Réceptions'!$E$5:$E$504)</f>
        <v/>
      </c>
      <c r="Q90" s="24">
        <f>SUMIF('Ventes'!$D$5:$D$504,$B90,'Ventes'!$F$5:$F$504)</f>
        <v/>
      </c>
      <c r="R90" s="24">
        <f>IF(O90="","",O90+P90-Q90)</f>
        <v/>
      </c>
      <c r="S90" s="17" t="inlineStr">
        <is>
          <t>Photo exacte non trouvée; visuel à ajouter.</t>
        </is>
      </c>
      <c r="T90" s="17" t="inlineStr">
        <is>
          <t>n°91 p.2</t>
        </is>
      </c>
    </row>
    <row r="91" ht="34" customHeight="1">
      <c r="A91" s="14" t="inlineStr">
        <is>
          <t>Ouvrir photo</t>
        </is>
      </c>
      <c r="B91" s="15" t="inlineStr">
        <is>
          <t>CEXV54C</t>
        </is>
      </c>
      <c r="C91" s="16" t="inlineStr">
        <is>
          <t>Canon / copieur (à confirmer)</t>
        </is>
      </c>
      <c r="D91" s="17" t="inlineStr">
        <is>
          <t>Toner photocopieur</t>
        </is>
      </c>
      <c r="E91" s="17" t="inlineStr">
        <is>
          <t>Cyan/couleur (suffixe C à confirmer)</t>
        </is>
      </c>
      <c r="F91" s="17" t="inlineStr">
        <is>
          <t>Toner photocopieur Canon — CEXV54C (cyan / couleur)</t>
        </is>
      </c>
      <c r="G91" s="16" t="inlineStr">
        <is>
          <t>Original (selon votre confirmation)</t>
        </is>
      </c>
      <c r="H91" s="18" t="n">
        <v>15000</v>
      </c>
      <c r="I91" s="18" t="n"/>
      <c r="J91" s="19" t="n"/>
      <c r="K91" s="18" t="n"/>
      <c r="L91" s="17" t="n"/>
      <c r="M91" s="21">
        <f>IF(OR(J91="",H91=""),"",J91-H91)</f>
        <v/>
      </c>
      <c r="N91" s="22">
        <f>IF(OR(J91="",H91="",J91=0),"",M91/J91)</f>
        <v/>
      </c>
      <c r="O91" s="23" t="n"/>
      <c r="P91" s="24">
        <f>SUMIF('Réceptions'!$C$5:$C$504,$B91,'Réceptions'!$E$5:$E$504)</f>
        <v/>
      </c>
      <c r="Q91" s="24">
        <f>SUMIF('Ventes'!$D$5:$D$504,$B91,'Ventes'!$F$5:$F$504)</f>
        <v/>
      </c>
      <c r="R91" s="24">
        <f>IF(O91="","",O91+P91-Q91)</f>
        <v/>
      </c>
      <c r="S91" s="17" t="inlineStr">
        <is>
          <t>Prix de vente et stock initial à compléter.</t>
        </is>
      </c>
      <c r="T91" s="17" t="inlineStr">
        <is>
          <t>n°92 p.2</t>
        </is>
      </c>
    </row>
  </sheetData>
  <autoFilter ref="A4:T91"/>
  <mergeCells count="2">
    <mergeCell ref="A1:T1"/>
    <mergeCell ref="A2:T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s>
  <pageMargins left="0.25" right="0.25" top="0.5" bottom="0.5" header="0.5" footer="0.5"/>
  <pageSetup orientation="landscape" paperSize="8" fitToHeight="0" fitToWidth="1"/>
  <legacyDrawing xmlns:r="http://schemas.openxmlformats.org/officeDocument/2006/relationships" r:id="anysvml"/>
  <tableParts count="1">
    <tablePart xmlns:r="http://schemas.openxmlformats.org/officeDocument/2006/relationships" r:id="rId88"/>
  </tableParts>
</worksheet>
</file>

<file path=xl/worksheets/sheet3.xml><?xml version="1.0" encoding="utf-8"?>
<worksheet xmlns="http://schemas.openxmlformats.org/spreadsheetml/2006/main">
  <sheetPr>
    <tabColor rgb="0070AD47"/>
    <outlinePr summaryBelow="1" summaryRight="1"/>
    <pageSetUpPr fitToPage="1"/>
  </sheetPr>
  <dimension ref="A1:H91"/>
  <sheetViews>
    <sheetView showGridLines="0" zoomScale="85" workbookViewId="0">
      <pane ySplit="4" topLeftCell="A5" activePane="bottomLeft" state="frozen"/>
      <selection pane="bottomLeft" activeCell="A1" sqref="A1"/>
    </sheetView>
  </sheetViews>
  <sheetFormatPr baseColWidth="8" defaultRowHeight="20"/>
  <cols>
    <col width="18" customWidth="1" min="1" max="1"/>
    <col width="19" customWidth="1" min="2" max="2"/>
    <col width="48" customWidth="1" min="3" max="3"/>
    <col width="18" customWidth="1" min="4" max="4"/>
    <col width="18" customWidth="1" min="5" max="5"/>
    <col width="23" customWidth="1" min="6" max="6"/>
    <col width="56" customWidth="1" min="7" max="7"/>
    <col width="23" customWidth="1" min="8" max="8"/>
  </cols>
  <sheetData>
    <row r="1" ht="36" customHeight="1">
      <c r="A1" s="1" t="inlineStr">
        <is>
          <t>Catalogue visuel — cartouches &amp; toners</t>
        </is>
      </c>
    </row>
    <row r="2" ht="30" customHeight="1">
      <c r="A2" s="2" t="inlineStr">
        <is>
          <t>Visuels indicatifs trouvés en ligne; les liens de source sont fournis. Une photo en ligne n’atteste pas que le stock réel est original ou identique.</t>
        </is>
      </c>
    </row>
    <row r="4" ht="40" customHeight="1">
      <c r="A4" s="13" t="inlineStr">
        <is>
          <t>Référence</t>
        </is>
      </c>
      <c r="B4" s="13" t="inlineStr">
        <is>
          <t>Photo</t>
        </is>
      </c>
      <c r="C4" s="13" t="inlineStr">
        <is>
          <t>Désignation</t>
        </is>
      </c>
      <c r="D4" s="13" t="inlineStr">
        <is>
          <t>Prix achat HT</t>
        </is>
      </c>
      <c r="E4" s="13" t="inlineStr">
        <is>
          <t>Repère ESS HT</t>
        </is>
      </c>
      <c r="F4" s="13" t="inlineStr">
        <is>
          <t>Prix vente client HT</t>
        </is>
      </c>
      <c r="G4" s="13" t="inlineStr">
        <is>
          <t>Statut / note visuel</t>
        </is>
      </c>
      <c r="H4" s="13" t="inlineStr">
        <is>
          <t>Source image Web</t>
        </is>
      </c>
    </row>
    <row r="5" ht="60" customHeight="1">
      <c r="A5" s="15" t="inlineStr">
        <is>
          <t>HP85A</t>
        </is>
      </c>
      <c r="C5" s="17" t="inlineStr">
        <is>
          <t>Cartouche/toner HP — HP85A (couleur à préciser)</t>
        </is>
      </c>
      <c r="D5" s="18" t="n">
        <v>3500</v>
      </c>
      <c r="E5" s="18" t="n">
        <v>38000</v>
      </c>
      <c r="F5" s="23" t="n"/>
      <c r="G5" s="17" t="inlineStr">
        <is>
          <t>Photo Web du modèle / gamme — Photo du modèle fabricant HP 85A / CE285A.</t>
        </is>
      </c>
      <c r="H5" s="27" t="inlineStr">
        <is>
          <t>Ouvrir la source</t>
        </is>
      </c>
    </row>
    <row r="6" ht="60" customHeight="1">
      <c r="A6" s="15" t="inlineStr">
        <is>
          <t>HP83A</t>
        </is>
      </c>
      <c r="C6" s="17" t="inlineStr">
        <is>
          <t>Cartouche/toner HP — HP83A (couleur à préciser)</t>
        </is>
      </c>
      <c r="D6" s="18" t="n">
        <v>3500</v>
      </c>
      <c r="E6" s="18" t="n"/>
      <c r="F6" s="23" t="n"/>
      <c r="G6" s="17" t="inlineStr">
        <is>
          <t>Photo Web du modèle / gamme — Photo du modèle HP 83A / CF283A; annonce indiquée Genuine.</t>
        </is>
      </c>
      <c r="H6" s="27" t="inlineStr">
        <is>
          <t>Ouvrir la source</t>
        </is>
      </c>
    </row>
    <row r="7" ht="60" customHeight="1">
      <c r="A7" s="15" t="inlineStr">
        <is>
          <t>HP35A</t>
        </is>
      </c>
      <c r="C7" s="17" t="inlineStr">
        <is>
          <t>Cartouche/toner HP — HP35A (couleur à préciser)</t>
        </is>
      </c>
      <c r="D7" s="18" t="n">
        <v>4000</v>
      </c>
      <c r="E7" s="18" t="n"/>
      <c r="F7" s="23" t="n"/>
      <c r="G7" s="17" t="inlineStr">
        <is>
          <t>Photo Web du modèle / gamme — Photo HP 35A / CB435A, annoncée Genuine OEM.</t>
        </is>
      </c>
      <c r="H7" s="27" t="inlineStr">
        <is>
          <t>Ouvrir la source</t>
        </is>
      </c>
    </row>
    <row r="8" ht="60" customHeight="1">
      <c r="A8" s="15" t="inlineStr">
        <is>
          <t>HP36</t>
        </is>
      </c>
      <c r="C8" s="17" t="inlineStr">
        <is>
          <t>Cartouche/toner HP — HP36 (couleur à préciser)</t>
        </is>
      </c>
      <c r="D8" s="18" t="n">
        <v>4000</v>
      </c>
      <c r="E8" s="18" t="n"/>
      <c r="F8" s="23" t="n"/>
      <c r="G8" s="17" t="inlineStr">
        <is>
          <t>Visuel de famille / équivalence — à vérifier — Visuel HP 36A / CB436A; le PDF indique HP36 sans suffixe A.</t>
        </is>
      </c>
      <c r="H8" s="27" t="inlineStr">
        <is>
          <t>Ouvrir la source</t>
        </is>
      </c>
    </row>
    <row r="9" ht="60" customHeight="1">
      <c r="A9" s="15" t="inlineStr">
        <is>
          <t>HP78A</t>
        </is>
      </c>
      <c r="C9" s="17" t="inlineStr">
        <is>
          <t>Cartouche/toner HP — HP78A (couleur à préciser)</t>
        </is>
      </c>
      <c r="D9" s="18" t="n">
        <v>4000</v>
      </c>
      <c r="E9" s="18" t="n"/>
      <c r="F9" s="23" t="n"/>
      <c r="G9" s="17" t="inlineStr">
        <is>
          <t>Photo Web du modèle / gamme — Photo HP 78A / CE278A.</t>
        </is>
      </c>
      <c r="H9" s="27" t="inlineStr">
        <is>
          <t>Ouvrir la source</t>
        </is>
      </c>
    </row>
    <row r="10" ht="60" customHeight="1">
      <c r="A10" s="15" t="inlineStr">
        <is>
          <t>HP79A</t>
        </is>
      </c>
      <c r="C10" s="17" t="inlineStr">
        <is>
          <t>Cartouche/toner HP — HP79A (couleur à préciser)</t>
        </is>
      </c>
      <c r="D10" s="18" t="n">
        <v>4500</v>
      </c>
      <c r="E10" s="18" t="n"/>
      <c r="F10" s="23" t="n"/>
      <c r="G10" s="17" t="inlineStr">
        <is>
          <t>Photo Web du modèle / gamme — Photo HP 79A / CF279A, annoncé Genuine.</t>
        </is>
      </c>
      <c r="H10" s="27" t="inlineStr">
        <is>
          <t>Ouvrir la source</t>
        </is>
      </c>
    </row>
    <row r="11" ht="60" customHeight="1">
      <c r="A11" s="15" t="inlineStr">
        <is>
          <t>HP05A</t>
        </is>
      </c>
      <c r="C11" s="17" t="inlineStr">
        <is>
          <t>Cartouche/toner HP — HP05A (couleur à préciser)</t>
        </is>
      </c>
      <c r="D11" s="18" t="n">
        <v>5000</v>
      </c>
      <c r="E11" s="18" t="n"/>
      <c r="F11" s="23" t="n"/>
      <c r="G11" s="17" t="inlineStr">
        <is>
          <t>Photo Web du modèle / gamme — Photo HP 05A / CE505A original.</t>
        </is>
      </c>
      <c r="H11" s="27" t="inlineStr">
        <is>
          <t>Ouvrir la source</t>
        </is>
      </c>
    </row>
    <row r="12" ht="60" customHeight="1">
      <c r="A12" s="15" t="inlineStr">
        <is>
          <t>HP12A</t>
        </is>
      </c>
      <c r="C12" s="17" t="inlineStr">
        <is>
          <t>Cartouche/toner HP — HP12A (couleur à préciser)</t>
        </is>
      </c>
      <c r="D12" s="18" t="n">
        <v>4000</v>
      </c>
      <c r="E12" s="18" t="n"/>
      <c r="F12" s="23" t="n"/>
      <c r="G12" s="17" t="inlineStr">
        <is>
          <t>Photo Web du modèle / gamme — Photo HP 12A / Q2612A, annoncée Genuine OEM Original.</t>
        </is>
      </c>
      <c r="H12" s="27" t="inlineStr">
        <is>
          <t>Ouvrir la source</t>
        </is>
      </c>
    </row>
    <row r="13" ht="60" customHeight="1">
      <c r="A13" s="15" t="inlineStr">
        <is>
          <t>HP106A</t>
        </is>
      </c>
      <c r="C13" s="17" t="inlineStr">
        <is>
          <t>Cartouche/toner HP — HP106A (couleur à préciser)</t>
        </is>
      </c>
      <c r="D13" s="18" t="n">
        <v>6000</v>
      </c>
      <c r="E13" s="18" t="n"/>
      <c r="F13" s="23" t="n"/>
      <c r="G13" s="17" t="inlineStr">
        <is>
          <t>Photo Web du modèle / gamme — Visuel trouvé sous HP 106A / W1106A; vérifier le conditionnement réel.</t>
        </is>
      </c>
      <c r="H13" s="27" t="inlineStr">
        <is>
          <t>Ouvrir la source</t>
        </is>
      </c>
    </row>
    <row r="14" ht="60" customHeight="1">
      <c r="A14" s="15" t="inlineStr">
        <is>
          <t>HP107A</t>
        </is>
      </c>
      <c r="C14" s="17" t="inlineStr">
        <is>
          <t>Cartouche/toner HP — HP107A (couleur à préciser)</t>
        </is>
      </c>
      <c r="D14" s="18" t="n">
        <v>6000</v>
      </c>
      <c r="E14" s="18" t="n"/>
      <c r="F14" s="23" t="n"/>
      <c r="G14" s="17" t="inlineStr">
        <is>
          <t>Photo Web du modèle / gamme — Photo HP 107A / W1107A.</t>
        </is>
      </c>
      <c r="H14" s="27" t="inlineStr">
        <is>
          <t>Ouvrir la source</t>
        </is>
      </c>
    </row>
    <row r="15" ht="60" customHeight="1">
      <c r="A15" s="15" t="inlineStr">
        <is>
          <t>HP135A</t>
        </is>
      </c>
      <c r="C15" s="17" t="inlineStr">
        <is>
          <t>Cartouche/toner HP — HP135A (couleur à préciser)</t>
        </is>
      </c>
      <c r="D15" s="18" t="n">
        <v>13000</v>
      </c>
      <c r="E15" s="18" t="n"/>
      <c r="F15" s="23" t="n"/>
      <c r="G15" s="17" t="inlineStr">
        <is>
          <t>Photo Web du modèle / gamme — Photo HP 135A / W1350A; série 135A.</t>
        </is>
      </c>
      <c r="H15" s="27" t="inlineStr">
        <is>
          <t>Ouvrir la source</t>
        </is>
      </c>
    </row>
    <row r="16" ht="60" customHeight="1">
      <c r="A16" s="15" t="inlineStr">
        <is>
          <t>HP26A</t>
        </is>
      </c>
      <c r="C16" s="17" t="inlineStr">
        <is>
          <t>Cartouche/toner HP — HP26A (couleur à préciser)</t>
        </is>
      </c>
      <c r="D16" s="18" t="n">
        <v>8000</v>
      </c>
      <c r="E16" s="18" t="n">
        <v>75000</v>
      </c>
      <c r="F16" s="23" t="n"/>
      <c r="G16" s="17" t="inlineStr">
        <is>
          <t>Photo Web du modèle / gamme — Photo HP 26A / CF226A.</t>
        </is>
      </c>
      <c r="H16" s="27" t="inlineStr">
        <is>
          <t>Ouvrir la source</t>
        </is>
      </c>
    </row>
    <row r="17" ht="60" customHeight="1">
      <c r="A17" s="15" t="inlineStr">
        <is>
          <t>HP44A</t>
        </is>
      </c>
      <c r="C17" s="17" t="inlineStr">
        <is>
          <t>Cartouche/toner HP — HP44A (couleur à préciser)</t>
        </is>
      </c>
      <c r="D17" s="18" t="n">
        <v>5000</v>
      </c>
      <c r="E17" s="18" t="n"/>
      <c r="F17" s="23" t="n"/>
      <c r="G17" s="17" t="inlineStr">
        <is>
          <t>Photo Web du modèle / gamme — Photo HP 44A / CF244A.</t>
        </is>
      </c>
      <c r="H17" s="27" t="inlineStr">
        <is>
          <t>Ouvrir la source</t>
        </is>
      </c>
    </row>
    <row r="18" ht="60" customHeight="1">
      <c r="A18" s="15" t="inlineStr">
        <is>
          <t>HP201N</t>
        </is>
      </c>
      <c r="C18" s="17" t="inlineStr">
        <is>
          <t>Cartouche/toner HP — HP201N (noir)</t>
        </is>
      </c>
      <c r="D18" s="18" t="n">
        <v>7500</v>
      </c>
      <c r="E18" s="18" t="n"/>
      <c r="F18" s="23" t="n"/>
      <c r="G18" s="17" t="inlineStr">
        <is>
          <t>Visuel OEM de gamme/couleur — suffixe source à confirmer — Visuel HP 201A noire / CF400A (suffixe N de la source interprété Noir).</t>
        </is>
      </c>
      <c r="H18" s="27" t="inlineStr">
        <is>
          <t>Ouvrir la source</t>
        </is>
      </c>
    </row>
    <row r="19" ht="60" customHeight="1">
      <c r="A19" s="15" t="inlineStr">
        <is>
          <t>HP201C</t>
        </is>
      </c>
      <c r="C19" s="17" t="inlineStr">
        <is>
          <t>Cartouche/toner HP — HP201C (cyan / couleur)</t>
        </is>
      </c>
      <c r="D19" s="18" t="n">
        <v>7500</v>
      </c>
      <c r="E19" s="18" t="n"/>
      <c r="F19" s="23" t="n"/>
      <c r="G19" s="17" t="inlineStr">
        <is>
          <t>Visuel OEM de gamme/couleur — suffixe source à confirmer — Visuel HP 201A Cyan / CF401A (suffixe C de la source interprété Cyan).</t>
        </is>
      </c>
      <c r="H19" s="27" t="inlineStr">
        <is>
          <t>Ouvrir la source</t>
        </is>
      </c>
    </row>
    <row r="20" ht="60" customHeight="1">
      <c r="A20" s="15" t="inlineStr">
        <is>
          <t>HP80A</t>
        </is>
      </c>
      <c r="C20" s="17" t="inlineStr">
        <is>
          <t>Cartouche/toner HP — HP80A (couleur à préciser)</t>
        </is>
      </c>
      <c r="D20" s="18" t="n">
        <v>5000</v>
      </c>
      <c r="E20" s="18" t="n"/>
      <c r="F20" s="23" t="n"/>
      <c r="G20" s="17" t="inlineStr">
        <is>
          <t>Photo Web du modèle / gamme — Photo HP 80A / CF280A; emballage illustré, vérifier le lot réel.</t>
        </is>
      </c>
      <c r="H20" s="27" t="inlineStr">
        <is>
          <t>Ouvrir la source</t>
        </is>
      </c>
    </row>
    <row r="21" ht="60" customHeight="1">
      <c r="A21" s="15" t="inlineStr">
        <is>
          <t>HP90A</t>
        </is>
      </c>
      <c r="C21" s="17" t="inlineStr">
        <is>
          <t>Cartouche/toner HP — HP90A (couleur à préciser)</t>
        </is>
      </c>
      <c r="D21" s="18" t="n">
        <v>17000</v>
      </c>
      <c r="E21" s="18" t="n"/>
      <c r="F21" s="23" t="n"/>
      <c r="G21" s="17" t="inlineStr">
        <is>
          <t>Photo Web du modèle / gamme — Photo HP 90A / CE390A; annonce Genuine, boîte ouverte.</t>
        </is>
      </c>
      <c r="H21" s="27" t="inlineStr">
        <is>
          <t>Ouvrir la source</t>
        </is>
      </c>
    </row>
    <row r="22" ht="60" customHeight="1">
      <c r="A22" s="15" t="inlineStr">
        <is>
          <t>HP17A</t>
        </is>
      </c>
      <c r="C22" s="17" t="inlineStr">
        <is>
          <t>Cartouche/toner HP — HP17A (couleur à préciser)</t>
        </is>
      </c>
      <c r="D22" s="18" t="n">
        <v>5000</v>
      </c>
      <c r="E22" s="18" t="n"/>
      <c r="F22" s="23" t="n"/>
      <c r="G22" s="17" t="inlineStr">
        <is>
          <t>Photo Web du modèle / gamme — Photo HP 17A / CF217A, Genuine OEM Original.</t>
        </is>
      </c>
      <c r="H22" s="27" t="inlineStr">
        <is>
          <t>Ouvrir la source</t>
        </is>
      </c>
    </row>
    <row r="23" ht="60" customHeight="1">
      <c r="A23" s="15" t="inlineStr">
        <is>
          <t>HP30A</t>
        </is>
      </c>
      <c r="C23" s="17" t="inlineStr">
        <is>
          <t>Cartouche/toner HP — HP30A (couleur à préciser)</t>
        </is>
      </c>
      <c r="D23" s="18" t="n">
        <v>6000</v>
      </c>
      <c r="E23" s="18" t="n"/>
      <c r="F23" s="23" t="n"/>
      <c r="G23" s="17" t="inlineStr">
        <is>
          <t>Photo Web du modèle / gamme — Photo HP 30A / CF230A.</t>
        </is>
      </c>
      <c r="H23" s="27" t="inlineStr">
        <is>
          <t>Ouvrir la source</t>
        </is>
      </c>
    </row>
    <row r="24" ht="60" customHeight="1">
      <c r="A24" s="15" t="inlineStr">
        <is>
          <t>HP150A</t>
        </is>
      </c>
      <c r="C24" s="17" t="inlineStr">
        <is>
          <t>Cartouche/toner HP — HP150A (couleur à préciser)</t>
        </is>
      </c>
      <c r="D24" s="18" t="n">
        <v>9000</v>
      </c>
      <c r="E24" s="18" t="n"/>
      <c r="F24" s="23" t="n"/>
      <c r="G24" s="17" t="inlineStr">
        <is>
          <t>Photo Web du modèle / gamme — Photo HP 150A / W1500A.</t>
        </is>
      </c>
      <c r="H24" s="27" t="inlineStr">
        <is>
          <t>Ouvrir la source</t>
        </is>
      </c>
    </row>
    <row r="25" ht="60" customHeight="1">
      <c r="A25" s="15" t="inlineStr">
        <is>
          <t>HP151A</t>
        </is>
      </c>
      <c r="C25" s="17" t="inlineStr">
        <is>
          <t>Cartouche/toner HP — HP151A (couleur à préciser)</t>
        </is>
      </c>
      <c r="D25" s="18" t="n">
        <v>14000</v>
      </c>
      <c r="E25" s="18" t="n"/>
      <c r="F25" s="23" t="n"/>
      <c r="G25" s="17" t="inlineStr">
        <is>
          <t>Photo Web du modèle / gamme — Photo HP 151A / W1510A.</t>
        </is>
      </c>
      <c r="H25" s="27" t="inlineStr">
        <is>
          <t>Ouvrir la source</t>
        </is>
      </c>
    </row>
    <row r="26" ht="60" customHeight="1">
      <c r="A26" s="15" t="inlineStr">
        <is>
          <t>HP59A</t>
        </is>
      </c>
      <c r="C26" s="17" t="inlineStr">
        <is>
          <t>Cartouche/toner HP — HP59A (couleur à préciser)</t>
        </is>
      </c>
      <c r="D26" s="18" t="n">
        <v>15000</v>
      </c>
      <c r="E26" s="18" t="n"/>
      <c r="F26" s="23" t="n"/>
      <c r="G26" s="17" t="inlineStr">
        <is>
          <t>Photo Web du modèle / gamme — Photo HP 59A / CF259A, Genuine.</t>
        </is>
      </c>
      <c r="H26" s="27" t="inlineStr">
        <is>
          <t>Ouvrir la source</t>
        </is>
      </c>
    </row>
    <row r="27" ht="60" customHeight="1">
      <c r="A27" s="15" t="inlineStr">
        <is>
          <t>HP205N</t>
        </is>
      </c>
      <c r="C27" s="17" t="inlineStr">
        <is>
          <t>Cartouche/toner HP — HP205N (noir)</t>
        </is>
      </c>
      <c r="D27" s="18" t="n">
        <v>7500</v>
      </c>
      <c r="E27" s="18" t="n">
        <v>45000</v>
      </c>
      <c r="F27" s="23" t="n"/>
      <c r="G27" s="17" t="inlineStr">
        <is>
          <t>Visuel OEM de gamme/couleur — suffixe source à confirmer — Visuel HP 205A noire / CF530A (suffixe N de la source interprété Noir).</t>
        </is>
      </c>
      <c r="H27" s="27" t="inlineStr">
        <is>
          <t>Ouvrir la source</t>
        </is>
      </c>
    </row>
    <row r="28" ht="60" customHeight="1">
      <c r="A28" s="15" t="inlineStr">
        <is>
          <t>HP205C</t>
        </is>
      </c>
      <c r="C28" s="17" t="inlineStr">
        <is>
          <t>Cartouche/toner HP — HP205C (cyan / couleur)</t>
        </is>
      </c>
      <c r="D28" s="18" t="n">
        <v>7500</v>
      </c>
      <c r="E28" s="18" t="n"/>
      <c r="F28" s="23" t="n"/>
      <c r="G28" s="17" t="inlineStr">
        <is>
          <t>Visuel OEM de gamme/couleur — suffixe source à confirmer — Visuel HP 205A Cyan / CF531A (suffixe C interprété Cyan).</t>
        </is>
      </c>
      <c r="H28" s="27" t="inlineStr">
        <is>
          <t>Ouvrir la source</t>
        </is>
      </c>
    </row>
    <row r="29" ht="60" customHeight="1">
      <c r="A29" s="15" t="inlineStr">
        <is>
          <t>HP203N</t>
        </is>
      </c>
      <c r="C29" s="17" t="inlineStr">
        <is>
          <t>Cartouche/toner HP — HP203N (noir)</t>
        </is>
      </c>
      <c r="D29" s="18" t="n">
        <v>7500</v>
      </c>
      <c r="E29" s="18" t="n">
        <v>52000</v>
      </c>
      <c r="F29" s="23" t="n"/>
      <c r="G29" s="17" t="inlineStr">
        <is>
          <t>Visuel OEM de gamme/couleur — suffixe source à confirmer — Visuel HP 203A noire / CF540A (suffixe N interprété Noir).</t>
        </is>
      </c>
      <c r="H29" s="27" t="inlineStr">
        <is>
          <t>Ouvrir la source</t>
        </is>
      </c>
    </row>
    <row r="30" ht="60" customHeight="1">
      <c r="A30" s="15" t="inlineStr">
        <is>
          <t>HP203C</t>
        </is>
      </c>
      <c r="C30" s="17" t="inlineStr">
        <is>
          <t>Cartouche/toner HP — HP203C (cyan / couleur)</t>
        </is>
      </c>
      <c r="D30" s="18" t="n">
        <v>7500</v>
      </c>
      <c r="E30" s="18" t="n"/>
      <c r="F30" s="23" t="n"/>
      <c r="G30" s="17" t="inlineStr">
        <is>
          <t>Visuel OEM de gamme/couleur — suffixe source à confirmer — Visuel HP 203A Cyan / CF541A (suffixe C interprété Cyan).</t>
        </is>
      </c>
      <c r="H30" s="27" t="inlineStr">
        <is>
          <t>Ouvrir la source</t>
        </is>
      </c>
    </row>
    <row r="31" ht="60" customHeight="1">
      <c r="A31" s="15" t="inlineStr">
        <is>
          <t>HP206N</t>
        </is>
      </c>
      <c r="C31" s="17" t="inlineStr">
        <is>
          <t>Cartouche/toner HP — HP206N (noir)</t>
        </is>
      </c>
      <c r="D31" s="18" t="n">
        <v>14000</v>
      </c>
      <c r="E31" s="18" t="n"/>
      <c r="F31" s="23" t="n"/>
      <c r="G31" s="17" t="inlineStr">
        <is>
          <t>Visuel OEM de gamme/couleur — suffixe source à confirmer — Visuel HP 206A noire / W2110A (suffixe N interprété Noir).</t>
        </is>
      </c>
      <c r="H31" s="27" t="inlineStr">
        <is>
          <t>Ouvrir la source</t>
        </is>
      </c>
    </row>
    <row r="32" ht="60" customHeight="1">
      <c r="A32" s="15" t="inlineStr">
        <is>
          <t>HP206C</t>
        </is>
      </c>
      <c r="C32" s="17" t="inlineStr">
        <is>
          <t>Cartouche/toner HP — HP206C (cyan / couleur)</t>
        </is>
      </c>
      <c r="D32" s="18" t="n">
        <v>14000</v>
      </c>
      <c r="E32" s="18" t="n"/>
      <c r="F32" s="23" t="n"/>
      <c r="G32" s="17" t="inlineStr">
        <is>
          <t>Visuel OEM de gamme/couleur — suffixe source à confirmer — Visuel HP 206A Cyan (suffixe C interprété Cyan).</t>
        </is>
      </c>
      <c r="H32" s="27" t="inlineStr">
        <is>
          <t>Ouvrir la source</t>
        </is>
      </c>
    </row>
    <row r="33" ht="60" customHeight="1">
      <c r="A33" s="15" t="inlineStr">
        <is>
          <t>HP207N</t>
        </is>
      </c>
      <c r="C33" s="17" t="inlineStr">
        <is>
          <t>Cartouche/toner HP — HP207N (noir)</t>
        </is>
      </c>
      <c r="D33" s="18" t="n">
        <v>13000</v>
      </c>
      <c r="E33" s="18" t="n"/>
      <c r="F33" s="23" t="n"/>
      <c r="G33" s="17" t="inlineStr">
        <is>
          <t>Visuel OEM de gamme/couleur — suffixe source à confirmer — Visuel HP 207A noire / W2210A.</t>
        </is>
      </c>
      <c r="H33" s="27" t="inlineStr">
        <is>
          <t>Ouvrir la source</t>
        </is>
      </c>
    </row>
    <row r="34" ht="60" customHeight="1">
      <c r="A34" s="15" t="inlineStr">
        <is>
          <t>HP207C</t>
        </is>
      </c>
      <c r="C34" s="17" t="inlineStr">
        <is>
          <t>Cartouche/toner HP — HP207C (cyan / couleur)</t>
        </is>
      </c>
      <c r="D34" s="18" t="n">
        <v>13000</v>
      </c>
      <c r="E34" s="18" t="n"/>
      <c r="F34" s="23" t="n"/>
      <c r="G34" s="17" t="inlineStr">
        <is>
          <t>Visuel OEM de gamme/couleur — suffixe source à confirmer — Visuel HP 207A Cyan / W2211A.</t>
        </is>
      </c>
      <c r="H34" s="27" t="inlineStr">
        <is>
          <t>Ouvrir la source</t>
        </is>
      </c>
    </row>
    <row r="35" ht="60" customHeight="1">
      <c r="A35" s="15" t="inlineStr">
        <is>
          <t>HP216N</t>
        </is>
      </c>
      <c r="C35" s="17" t="inlineStr">
        <is>
          <t>Cartouche/toner HP — HP216N (noir)</t>
        </is>
      </c>
      <c r="D35" s="18" t="n">
        <v>11000</v>
      </c>
      <c r="E35" s="18" t="n"/>
      <c r="F35" s="23" t="n"/>
      <c r="G35" s="17" t="inlineStr">
        <is>
          <t>Visuel OEM de gamme/couleur — suffixe source à confirmer — Visuel HP 216A noire / W2410A.</t>
        </is>
      </c>
      <c r="H35" s="27" t="inlineStr">
        <is>
          <t>Ouvrir la source</t>
        </is>
      </c>
    </row>
    <row r="36" ht="60" customHeight="1">
      <c r="A36" s="15" t="inlineStr">
        <is>
          <t>HP216C</t>
        </is>
      </c>
      <c r="C36" s="17" t="inlineStr">
        <is>
          <t>Cartouche/toner HP — HP216C (cyan / couleur)</t>
        </is>
      </c>
      <c r="D36" s="18" t="n">
        <v>11000</v>
      </c>
      <c r="E36" s="18" t="n"/>
      <c r="F36" s="23" t="n"/>
      <c r="G36" s="17" t="inlineStr">
        <is>
          <t>Visuel OEM de gamme/couleur — suffixe source à confirmer — Visuel HP 216A Cyan.</t>
        </is>
      </c>
      <c r="H36" s="27" t="inlineStr">
        <is>
          <t>Ouvrir la source</t>
        </is>
      </c>
    </row>
    <row r="37" ht="60" customHeight="1">
      <c r="A37" s="15" t="inlineStr">
        <is>
          <t>HP230N</t>
        </is>
      </c>
      <c r="C37" s="17" t="inlineStr">
        <is>
          <t>Cartouche/toner HP — HP230N (noir)</t>
        </is>
      </c>
      <c r="D37" s="18" t="n">
        <v>18000</v>
      </c>
      <c r="E37" s="18" t="n"/>
      <c r="F37" s="23" t="n"/>
      <c r="G37" s="17" t="inlineStr">
        <is>
          <t>Visuel OEM de gamme/couleur — suffixe source à confirmer — Visuel HP 230A noire / W2300A.</t>
        </is>
      </c>
      <c r="H37" s="27" t="inlineStr">
        <is>
          <t>Ouvrir la source</t>
        </is>
      </c>
    </row>
    <row r="38" ht="60" customHeight="1">
      <c r="A38" s="15" t="inlineStr">
        <is>
          <t>HP230C</t>
        </is>
      </c>
      <c r="C38" s="17" t="inlineStr">
        <is>
          <t>Cartouche/toner HP — HP230C (cyan / couleur)</t>
        </is>
      </c>
      <c r="D38" s="18" t="n">
        <v>18000</v>
      </c>
      <c r="E38" s="18" t="n"/>
      <c r="F38" s="23" t="n"/>
      <c r="G38" s="17" t="inlineStr">
        <is>
          <t>Visuel OEM de gamme/couleur — suffixe source à confirmer — Visuel HP 230A Cyan / W2301A.</t>
        </is>
      </c>
      <c r="H38" s="27" t="inlineStr">
        <is>
          <t>Ouvrir la source</t>
        </is>
      </c>
    </row>
    <row r="39" ht="60" customHeight="1">
      <c r="A39" s="15" t="inlineStr">
        <is>
          <t>HP222N</t>
        </is>
      </c>
      <c r="C39" s="17" t="inlineStr">
        <is>
          <t>Cartouche/toner HP — HP222N (noir)</t>
        </is>
      </c>
      <c r="D39" s="18" t="n">
        <v>18000</v>
      </c>
      <c r="E39" s="18" t="n"/>
      <c r="F39" s="23" t="n"/>
      <c r="G39" s="17" t="inlineStr">
        <is>
          <t>Visuel OEM de gamme/couleur — suffixe source à confirmer — Visuel HP 222A noire.</t>
        </is>
      </c>
      <c r="H39" s="27" t="inlineStr">
        <is>
          <t>Ouvrir la source</t>
        </is>
      </c>
    </row>
    <row r="40" ht="60" customHeight="1">
      <c r="A40" s="15" t="inlineStr">
        <is>
          <t>HP222C</t>
        </is>
      </c>
      <c r="C40" s="17" t="inlineStr">
        <is>
          <t>Cartouche/toner HP — HP222C (cyan / couleur)</t>
        </is>
      </c>
      <c r="D40" s="18" t="n">
        <v>18000</v>
      </c>
      <c r="E40" s="18" t="n"/>
      <c r="F40" s="23" t="n"/>
      <c r="G40" s="17" t="inlineStr">
        <is>
          <t>Visuel OEM de gamme/couleur — suffixe source à confirmer — Visuel HP 222A Cyan / W2221A.</t>
        </is>
      </c>
      <c r="H40" s="27" t="inlineStr">
        <is>
          <t>Ouvrir la source</t>
        </is>
      </c>
    </row>
    <row r="41" ht="60" customHeight="1">
      <c r="A41" s="15" t="inlineStr">
        <is>
          <t>HP125N</t>
        </is>
      </c>
      <c r="C41" s="17" t="inlineStr">
        <is>
          <t>Cartouche/toner HP — HP125N (noir)</t>
        </is>
      </c>
      <c r="D41" s="18" t="n">
        <v>7500</v>
      </c>
      <c r="E41" s="18" t="n"/>
      <c r="F41" s="23" t="n"/>
      <c r="G41" s="17" t="inlineStr">
        <is>
          <t>Visuel OEM de gamme/couleur — suffixe source à confirmer — Visuel HP 125A noire / CB540A.</t>
        </is>
      </c>
      <c r="H41" s="27" t="inlineStr">
        <is>
          <t>Ouvrir la source</t>
        </is>
      </c>
    </row>
    <row r="42" ht="60" customHeight="1">
      <c r="A42" s="15" t="inlineStr">
        <is>
          <t>HP125C</t>
        </is>
      </c>
      <c r="C42" s="17" t="inlineStr">
        <is>
          <t>Cartouche/toner HP — HP125C (cyan / couleur)</t>
        </is>
      </c>
      <c r="D42" s="18" t="n">
        <v>7500</v>
      </c>
      <c r="E42" s="18" t="n"/>
      <c r="F42" s="23" t="n"/>
      <c r="G42" s="17" t="inlineStr">
        <is>
          <t>Visuel OEM de gamme/couleur — suffixe source à confirmer — Visuel HP 125A Cyan / CB541A.</t>
        </is>
      </c>
      <c r="H42" s="27" t="inlineStr">
        <is>
          <t>Ouvrir la source</t>
        </is>
      </c>
    </row>
    <row r="43" ht="60" customHeight="1">
      <c r="A43" s="15" t="inlineStr">
        <is>
          <t>HP131N</t>
        </is>
      </c>
      <c r="C43" s="17" t="inlineStr">
        <is>
          <t>Cartouche/toner HP — HP131N (noir)</t>
        </is>
      </c>
      <c r="D43" s="18" t="n">
        <v>7500</v>
      </c>
      <c r="E43" s="18" t="n"/>
      <c r="F43" s="23" t="n"/>
      <c r="G43" s="17" t="inlineStr">
        <is>
          <t>Visuel OEM de gamme/couleur — suffixe source à confirmer — Visuel HP 131A noire / CF210A.</t>
        </is>
      </c>
      <c r="H43" s="27" t="inlineStr">
        <is>
          <t>Ouvrir la source</t>
        </is>
      </c>
    </row>
    <row r="44" ht="60" customHeight="1">
      <c r="A44" s="15" t="inlineStr">
        <is>
          <t>HP131C</t>
        </is>
      </c>
      <c r="C44" s="17" t="inlineStr">
        <is>
          <t>Cartouche/toner HP — HP131C (cyan / couleur)</t>
        </is>
      </c>
      <c r="D44" s="18" t="n">
        <v>7500</v>
      </c>
      <c r="E44" s="18" t="n"/>
      <c r="F44" s="23" t="n"/>
      <c r="G44" s="17" t="inlineStr">
        <is>
          <t>Visuel OEM de gamme/couleur — suffixe source à confirmer — Visuel HP 131A Cyan / CF211A.</t>
        </is>
      </c>
      <c r="H44" s="27" t="inlineStr">
        <is>
          <t>Ouvrir la source</t>
        </is>
      </c>
    </row>
    <row r="45" ht="60" customHeight="1">
      <c r="A45" s="15" t="inlineStr">
        <is>
          <t>HP126N</t>
        </is>
      </c>
      <c r="C45" s="17" t="inlineStr">
        <is>
          <t>Cartouche/toner HP — HP126N (noir)</t>
        </is>
      </c>
      <c r="D45" s="18" t="n">
        <v>7000</v>
      </c>
      <c r="E45" s="18" t="n"/>
      <c r="F45" s="23" t="n"/>
      <c r="G45" s="17" t="inlineStr">
        <is>
          <t>Visuel OEM de gamme/couleur — suffixe source à confirmer — Visuel HP 126A noire / CE310A.</t>
        </is>
      </c>
      <c r="H45" s="27" t="inlineStr">
        <is>
          <t>Ouvrir la source</t>
        </is>
      </c>
    </row>
    <row r="46" ht="60" customHeight="1">
      <c r="A46" s="15" t="inlineStr">
        <is>
          <t>HP126C</t>
        </is>
      </c>
      <c r="C46" s="17" t="inlineStr">
        <is>
          <t>Cartouche/toner HP — HP126C (cyan / couleur)</t>
        </is>
      </c>
      <c r="D46" s="18" t="n">
        <v>7000</v>
      </c>
      <c r="E46" s="18" t="n"/>
      <c r="F46" s="23" t="n"/>
      <c r="G46" s="17" t="inlineStr">
        <is>
          <t>Visuel OEM de gamme/couleur — suffixe source à confirmer — Visuel HP 126A Cyan / CE311A.</t>
        </is>
      </c>
      <c r="H46" s="27" t="inlineStr">
        <is>
          <t>Ouvrir la source</t>
        </is>
      </c>
    </row>
    <row r="47" ht="60" customHeight="1">
      <c r="A47" s="15" t="inlineStr">
        <is>
          <t>HP130N</t>
        </is>
      </c>
      <c r="C47" s="17" t="inlineStr">
        <is>
          <t>Cartouche/toner HP — HP130N (noir)</t>
        </is>
      </c>
      <c r="D47" s="18" t="n">
        <v>7000</v>
      </c>
      <c r="E47" s="18" t="n"/>
      <c r="F47" s="23" t="n"/>
      <c r="G47" s="17" t="inlineStr">
        <is>
          <t>Visuel OEM de gamme/couleur — suffixe source à confirmer — Visuel HP 130A noire / CF350A.</t>
        </is>
      </c>
      <c r="H47" s="27" t="inlineStr">
        <is>
          <t>Ouvrir la source</t>
        </is>
      </c>
    </row>
    <row r="48" ht="60" customHeight="1">
      <c r="A48" s="15" t="inlineStr">
        <is>
          <t>HP130C</t>
        </is>
      </c>
      <c r="C48" s="17" t="inlineStr">
        <is>
          <t>Cartouche/toner HP — HP130C (cyan / couleur)</t>
        </is>
      </c>
      <c r="D48" s="18" t="n">
        <v>7500</v>
      </c>
      <c r="E48" s="18" t="n"/>
      <c r="F48" s="23" t="n"/>
      <c r="G48" s="17" t="inlineStr">
        <is>
          <t>Visuel OEM de gamme/couleur — suffixe source à confirmer — Visuel HP 130A Cyan / CF351A.</t>
        </is>
      </c>
      <c r="H48" s="27" t="inlineStr">
        <is>
          <t>Ouvrir la source</t>
        </is>
      </c>
    </row>
    <row r="49" ht="60" customHeight="1">
      <c r="A49" s="15" t="inlineStr">
        <is>
          <t>HP117N</t>
        </is>
      </c>
      <c r="C49" s="17" t="inlineStr">
        <is>
          <t>Cartouche/toner HP — HP117N (noir)</t>
        </is>
      </c>
      <c r="D49" s="18" t="n">
        <v>9000</v>
      </c>
      <c r="E49" s="18" t="n"/>
      <c r="F49" s="23" t="n"/>
      <c r="G49" s="17" t="inlineStr">
        <is>
          <t>Visuel OEM de gamme/couleur — suffixe source à confirmer — Visuel HP 117A noire / W2070A.</t>
        </is>
      </c>
      <c r="H49" s="27" t="inlineStr">
        <is>
          <t>Ouvrir la source</t>
        </is>
      </c>
    </row>
    <row r="50" ht="60" customHeight="1">
      <c r="A50" s="15" t="inlineStr">
        <is>
          <t>HP117C</t>
        </is>
      </c>
      <c r="C50" s="17" t="inlineStr">
        <is>
          <t>Cartouche/toner HP — HP117C (cyan / couleur)</t>
        </is>
      </c>
      <c r="D50" s="18" t="n">
        <v>9000</v>
      </c>
      <c r="E50" s="18" t="n"/>
      <c r="F50" s="23" t="n"/>
      <c r="G50" s="17" t="inlineStr">
        <is>
          <t>Visuel OEM de gamme/couleur — suffixe source à confirmer — Visuel HP 117A Cyan / W2071A.</t>
        </is>
      </c>
      <c r="H50" s="27" t="inlineStr">
        <is>
          <t>Ouvrir la source</t>
        </is>
      </c>
    </row>
    <row r="51" ht="60" customHeight="1">
      <c r="A51" s="15" t="inlineStr">
        <is>
          <t>HP410N</t>
        </is>
      </c>
      <c r="C51" s="17" t="inlineStr">
        <is>
          <t>Cartouche/toner HP — HP410N (noir)</t>
        </is>
      </c>
      <c r="D51" s="18" t="n">
        <v>7500</v>
      </c>
      <c r="E51" s="18" t="n"/>
      <c r="F51" s="23" t="n"/>
      <c r="G51" s="17" t="inlineStr">
        <is>
          <t>Visuel OEM de gamme/couleur — suffixe source à confirmer — Visuel HP 410A noire / CF410A.</t>
        </is>
      </c>
      <c r="H51" s="27" t="inlineStr">
        <is>
          <t>Ouvrir la source</t>
        </is>
      </c>
    </row>
    <row r="52" ht="60" customHeight="1">
      <c r="A52" s="15" t="inlineStr">
        <is>
          <t>HP410C</t>
        </is>
      </c>
      <c r="C52" s="17" t="inlineStr">
        <is>
          <t>Cartouche/toner HP — HP410C (cyan / couleur)</t>
        </is>
      </c>
      <c r="D52" s="18" t="n">
        <v>7500</v>
      </c>
      <c r="E52" s="18" t="n"/>
      <c r="F52" s="23" t="n"/>
      <c r="G52" s="17" t="inlineStr">
        <is>
          <t>Visuel OEM de gamme/couleur — suffixe source à confirmer — Visuel HP 410A Cyan / CF411A.</t>
        </is>
      </c>
      <c r="H52" s="27" t="inlineStr">
        <is>
          <t>Ouvrir la source</t>
        </is>
      </c>
    </row>
    <row r="53" ht="60" customHeight="1">
      <c r="A53" s="15" t="inlineStr">
        <is>
          <t>HP415N</t>
        </is>
      </c>
      <c r="C53" s="17" t="inlineStr">
        <is>
          <t>Cartouche/toner HP — HP415N (noir)</t>
        </is>
      </c>
      <c r="D53" s="18" t="n">
        <v>14000</v>
      </c>
      <c r="E53" s="18" t="n"/>
      <c r="F53" s="23" t="n"/>
      <c r="G53" s="17" t="inlineStr">
        <is>
          <t>Visuel OEM de gamme/couleur — suffixe source à confirmer — Visuel HP 415A noire / W2030A.</t>
        </is>
      </c>
      <c r="H53" s="27" t="inlineStr">
        <is>
          <t>Ouvrir la source</t>
        </is>
      </c>
    </row>
    <row r="54" ht="60" customHeight="1">
      <c r="A54" s="15" t="inlineStr">
        <is>
          <t>HP415C</t>
        </is>
      </c>
      <c r="C54" s="17" t="inlineStr">
        <is>
          <t>Cartouche/toner HP — HP415C (cyan / couleur)</t>
        </is>
      </c>
      <c r="D54" s="18" t="n">
        <v>14000</v>
      </c>
      <c r="E54" s="18" t="n"/>
      <c r="F54" s="23" t="n"/>
      <c r="G54" s="17" t="inlineStr">
        <is>
          <t>Visuel OEM de gamme/couleur — suffixe source à confirmer — Visuel HP 415A Cyan / W2031A.</t>
        </is>
      </c>
      <c r="H54" s="27" t="inlineStr">
        <is>
          <t>Ouvrir la source</t>
        </is>
      </c>
    </row>
    <row r="55" ht="60" customHeight="1">
      <c r="A55" s="15" t="inlineStr">
        <is>
          <t>HP305N</t>
        </is>
      </c>
      <c r="C55" s="17" t="inlineStr">
        <is>
          <t>Cartouche/toner HP — HP305N (noir)</t>
        </is>
      </c>
      <c r="D55" s="18" t="n">
        <v>7500</v>
      </c>
      <c r="E55" s="18" t="n"/>
      <c r="F55" s="23" t="n"/>
      <c r="G55" s="17" t="inlineStr">
        <is>
          <t>Visuel OEM de gamme/couleur — suffixe source à confirmer — Visuel HP 305A noire / CE410A.</t>
        </is>
      </c>
      <c r="H55" s="27" t="inlineStr">
        <is>
          <t>Ouvrir la source</t>
        </is>
      </c>
    </row>
    <row r="56" ht="60" customHeight="1">
      <c r="A56" s="15" t="inlineStr">
        <is>
          <t>HP305C</t>
        </is>
      </c>
      <c r="C56" s="17" t="inlineStr">
        <is>
          <t>Cartouche/toner HP — HP305C (cyan / couleur)</t>
        </is>
      </c>
      <c r="D56" s="18" t="n">
        <v>7500</v>
      </c>
      <c r="E56" s="18" t="n"/>
      <c r="F56" s="23" t="n"/>
      <c r="G56" s="17" t="inlineStr">
        <is>
          <t>Visuel OEM de gamme/couleur — suffixe source à confirmer — Visuel HP 305A Cyan / CE411A.</t>
        </is>
      </c>
      <c r="H56" s="27" t="inlineStr">
        <is>
          <t>Ouvrir la source</t>
        </is>
      </c>
    </row>
    <row r="57" ht="60" customHeight="1">
      <c r="A57" s="15" t="inlineStr">
        <is>
          <t>HP312N</t>
        </is>
      </c>
      <c r="C57" s="17" t="inlineStr">
        <is>
          <t>Cartouche/toner HP — HP312N (noir)</t>
        </is>
      </c>
      <c r="D57" s="18" t="n">
        <v>7500</v>
      </c>
      <c r="E57" s="18" t="n"/>
      <c r="F57" s="23" t="n"/>
      <c r="G57" s="17" t="inlineStr">
        <is>
          <t>Visuel OEM de gamme/couleur — suffixe source à confirmer — Visuel HP 312A noire / CF380A.</t>
        </is>
      </c>
      <c r="H57" s="27" t="inlineStr">
        <is>
          <t>Ouvrir la source</t>
        </is>
      </c>
    </row>
    <row r="58" ht="60" customHeight="1">
      <c r="A58" s="15" t="inlineStr">
        <is>
          <t>HP312C</t>
        </is>
      </c>
      <c r="C58" s="17" t="inlineStr">
        <is>
          <t>Cartouche/toner HP — HP312C (cyan / couleur)</t>
        </is>
      </c>
      <c r="D58" s="18" t="n">
        <v>7500</v>
      </c>
      <c r="E58" s="18" t="n"/>
      <c r="F58" s="23" t="n"/>
      <c r="G58" s="17" t="inlineStr">
        <is>
          <t>Visuel OEM de gamme/couleur — suffixe source à confirmer — Visuel HP 312A Cyan / CF381A.</t>
        </is>
      </c>
      <c r="H58" s="27" t="inlineStr">
        <is>
          <t>Ouvrir la source</t>
        </is>
      </c>
    </row>
    <row r="59" ht="60" customHeight="1">
      <c r="A59" s="15" t="inlineStr">
        <is>
          <t>HP304N</t>
        </is>
      </c>
      <c r="C59" s="17" t="inlineStr">
        <is>
          <t>Cartouche/toner HP — HP304N (noir)</t>
        </is>
      </c>
      <c r="D59" s="18" t="n">
        <v>9000</v>
      </c>
      <c r="E59" s="18" t="n"/>
      <c r="F59" s="23" t="n"/>
      <c r="G59" s="17" t="inlineStr">
        <is>
          <t>Visuel OEM de gamme/couleur — suffixe source à confirmer — Visuel HP 304A noire / CC530A.</t>
        </is>
      </c>
      <c r="H59" s="27" t="inlineStr">
        <is>
          <t>Ouvrir la source</t>
        </is>
      </c>
    </row>
    <row r="60" ht="60" customHeight="1">
      <c r="A60" s="15" t="inlineStr">
        <is>
          <t>HP304C</t>
        </is>
      </c>
      <c r="C60" s="17" t="inlineStr">
        <is>
          <t>Cartouche/toner HP — HP304C (cyan / couleur)</t>
        </is>
      </c>
      <c r="D60" s="18" t="n">
        <v>9000</v>
      </c>
      <c r="E60" s="18" t="n"/>
      <c r="F60" s="23" t="n"/>
      <c r="G60" s="17" t="inlineStr">
        <is>
          <t>Visuel OEM de gamme/couleur — suffixe source à confirmer — Visuel HP 304A Cyan / CC531A.</t>
        </is>
      </c>
      <c r="H60" s="27" t="inlineStr">
        <is>
          <t>Ouvrir la source</t>
        </is>
      </c>
    </row>
    <row r="61" ht="60" customHeight="1">
      <c r="A61" s="15" t="inlineStr">
        <is>
          <t>HP81A</t>
        </is>
      </c>
      <c r="C61" s="17" t="inlineStr">
        <is>
          <t>Cartouche/toner HP — HP81A (couleur à préciser)</t>
        </is>
      </c>
      <c r="D61" s="18" t="n">
        <v>20000</v>
      </c>
      <c r="E61" s="18" t="n"/>
      <c r="F61" s="23" t="n"/>
      <c r="G61" s="17" t="inlineStr">
        <is>
          <t>Photo Web du modèle / gamme — Visuel HP 81A noire / CF281A (référence fabricant associée).</t>
        </is>
      </c>
      <c r="H61" s="27" t="inlineStr">
        <is>
          <t>Ouvrir la source</t>
        </is>
      </c>
    </row>
    <row r="62" ht="60" customHeight="1">
      <c r="A62" s="15" t="inlineStr">
        <is>
          <t>HP147A</t>
        </is>
      </c>
      <c r="C62" s="17" t="inlineStr">
        <is>
          <t>Cartouche/toner HP — HP147A (couleur à préciser)</t>
        </is>
      </c>
      <c r="D62" s="18" t="n">
        <v>25000</v>
      </c>
      <c r="E62" s="18" t="n"/>
      <c r="F62" s="23" t="n"/>
      <c r="G62" s="17" t="inlineStr">
        <is>
          <t>Photo Web du modèle / gamme — Visuel HP 147A / W1470A, annoncée Genuine Original.</t>
        </is>
      </c>
      <c r="H62" s="27" t="inlineStr">
        <is>
          <t>Ouvrir la source</t>
        </is>
      </c>
    </row>
    <row r="63" ht="60" customHeight="1">
      <c r="A63" s="15" t="inlineStr">
        <is>
          <t>HP55A</t>
        </is>
      </c>
      <c r="C63" s="17" t="inlineStr">
        <is>
          <t>Cartouche/toner HP — HP55A (couleur à préciser)</t>
        </is>
      </c>
      <c r="D63" s="18" t="n">
        <v>13000</v>
      </c>
      <c r="E63" s="18" t="n"/>
      <c r="F63" s="23" t="n"/>
      <c r="G63" s="17" t="inlineStr">
        <is>
          <t>Photo Web du modèle / gamme — Photo HP 55A / CE255A original.</t>
        </is>
      </c>
      <c r="H63" s="27" t="inlineStr">
        <is>
          <t>Ouvrir la source</t>
        </is>
      </c>
    </row>
    <row r="64" ht="60" customHeight="1">
      <c r="A64" s="15" t="inlineStr">
        <is>
          <t>TAMB19A</t>
        </is>
      </c>
      <c r="C64" s="17" t="inlineStr">
        <is>
          <t>Tambour / unité d’image — TAMB19A</t>
        </is>
      </c>
      <c r="D64" s="18" t="n">
        <v>8000</v>
      </c>
      <c r="E64" s="18" t="n"/>
      <c r="F64" s="23" t="n"/>
      <c r="G64" s="17" t="inlineStr">
        <is>
          <t>Visuel de famille / équivalence — à vérifier — Visuel tambour HP 19A / CF219A; code TAMB19A à valider.</t>
        </is>
      </c>
      <c r="H64" s="27" t="inlineStr">
        <is>
          <t>Ouvrir la source</t>
        </is>
      </c>
    </row>
    <row r="65" ht="60" customHeight="1">
      <c r="A65" s="15" t="inlineStr">
        <is>
          <t>TAMB120A</t>
        </is>
      </c>
      <c r="C65" s="17" t="inlineStr">
        <is>
          <t>Tambour / unité d’image — TAMB120A</t>
        </is>
      </c>
      <c r="D65" s="18" t="n">
        <v>20000</v>
      </c>
      <c r="E65" s="18" t="n"/>
      <c r="F65" s="23" t="n"/>
      <c r="G65" s="17" t="inlineStr">
        <is>
          <t>Visuel de famille / équivalence — à vérifier — Visuel tambour HP 120A / W1120A; code TAMB120A à valider.</t>
        </is>
      </c>
      <c r="H65" s="27" t="inlineStr">
        <is>
          <t>Ouvrir la source</t>
        </is>
      </c>
    </row>
    <row r="66" ht="60" customHeight="1">
      <c r="A66" s="15" t="inlineStr">
        <is>
          <t>CANON045N</t>
        </is>
      </c>
      <c r="C66" s="17" t="inlineStr">
        <is>
          <t>Cartouche/toner Canon — CANON045N (noir)</t>
        </is>
      </c>
      <c r="D66" s="18" t="n">
        <v>7500</v>
      </c>
      <c r="E66" s="18" t="n"/>
      <c r="F66" s="23" t="n"/>
      <c r="G66" s="17" t="inlineStr">
        <is>
          <t>Visuel de famille / équivalence — à vérifier — Visuel de la gamme Canon 045 Genuine, boîte 4 couleurs; pas une photo isolée du noir.</t>
        </is>
      </c>
      <c r="H66" s="27" t="inlineStr">
        <is>
          <t>Ouvrir la source</t>
        </is>
      </c>
    </row>
    <row r="67" ht="60" customHeight="1">
      <c r="A67" s="15" t="inlineStr">
        <is>
          <t>CANON045C</t>
        </is>
      </c>
      <c r="C67" s="17" t="inlineStr">
        <is>
          <t>Cartouche/toner Canon — CANON045C (cyan / couleur)</t>
        </is>
      </c>
      <c r="D67" s="18" t="n">
        <v>7500</v>
      </c>
      <c r="E67" s="18" t="n"/>
      <c r="F67" s="23" t="n"/>
      <c r="G67" s="17" t="inlineStr">
        <is>
          <t>Visuel OEM de gamme/couleur — suffixe source à confirmer — Photo Canon 045 Cyan / 1241C001.</t>
        </is>
      </c>
      <c r="H67" s="27" t="inlineStr">
        <is>
          <t>Ouvrir la source</t>
        </is>
      </c>
    </row>
    <row r="68" ht="60" customHeight="1">
      <c r="A68" s="15" t="inlineStr">
        <is>
          <t>CANON055N</t>
        </is>
      </c>
      <c r="C68" s="17" t="inlineStr">
        <is>
          <t>Cartouche/toner Canon — CANON055N (noir)</t>
        </is>
      </c>
      <c r="D68" s="18" t="n">
        <v>13000</v>
      </c>
      <c r="E68" s="18" t="n"/>
      <c r="F68" s="23" t="n"/>
      <c r="G68" s="17" t="inlineStr">
        <is>
          <t>Visuel OEM de gamme/couleur — suffixe source à confirmer — Photo Canon Genuine 055 Black / 3016C001.</t>
        </is>
      </c>
      <c r="H68" s="27" t="inlineStr">
        <is>
          <t>Ouvrir la source</t>
        </is>
      </c>
    </row>
    <row r="69" ht="60" customHeight="1">
      <c r="A69" s="15" t="inlineStr">
        <is>
          <t>CANON055C</t>
        </is>
      </c>
      <c r="C69" s="17" t="inlineStr">
        <is>
          <t>Cartouche/toner Canon — CANON055C (cyan / couleur)</t>
        </is>
      </c>
      <c r="D69" s="18" t="n">
        <v>13000</v>
      </c>
      <c r="E69" s="18" t="n"/>
      <c r="F69" s="23" t="n"/>
      <c r="G69" s="17" t="inlineStr">
        <is>
          <t>Visuel OEM de gamme/couleur — suffixe source à confirmer — Photo Canon 055 Cyan / 3015C001.</t>
        </is>
      </c>
      <c r="H69" s="27" t="inlineStr">
        <is>
          <t>Ouvrir la source</t>
        </is>
      </c>
    </row>
    <row r="70" ht="60" customHeight="1">
      <c r="A70" s="15" t="inlineStr">
        <is>
          <t>CANON067N</t>
        </is>
      </c>
      <c r="C70" s="17" t="inlineStr">
        <is>
          <t>Cartouche/toner Canon — CANON067N (noir)</t>
        </is>
      </c>
      <c r="D70" s="18" t="n">
        <v>13000</v>
      </c>
      <c r="E70" s="18" t="n"/>
      <c r="F70" s="23" t="n"/>
      <c r="G70" s="17" t="inlineStr">
        <is>
          <t>Visuel OEM de gamme/couleur — suffixe source à confirmer — Photo Canon 067 Black / 5102C001.</t>
        </is>
      </c>
      <c r="H70" s="27" t="inlineStr">
        <is>
          <t>Ouvrir la source</t>
        </is>
      </c>
    </row>
    <row r="71" ht="60" customHeight="1">
      <c r="A71" s="15" t="inlineStr">
        <is>
          <t>CANON067C</t>
        </is>
      </c>
      <c r="C71" s="17" t="inlineStr">
        <is>
          <t>Cartouche/toner Canon — CANON067C (cyan / couleur)</t>
        </is>
      </c>
      <c r="D71" s="18" t="n">
        <v>13000</v>
      </c>
      <c r="E71" s="18" t="n"/>
      <c r="F71" s="23" t="n"/>
      <c r="G71" s="17" t="inlineStr">
        <is>
          <t>Visuel OEM de gamme/couleur — suffixe source à confirmer — Photo Canon 067 Cyan / 5101C001.</t>
        </is>
      </c>
      <c r="H71" s="27" t="inlineStr">
        <is>
          <t>Ouvrir la source</t>
        </is>
      </c>
    </row>
    <row r="72" ht="60" customHeight="1">
      <c r="A72" s="15" t="inlineStr">
        <is>
          <t>CANON069N</t>
        </is>
      </c>
      <c r="C72" s="17" t="inlineStr">
        <is>
          <t>Cartouche/toner Canon — CANON069N (noir)</t>
        </is>
      </c>
      <c r="D72" s="18" t="n">
        <v>14000</v>
      </c>
      <c r="E72" s="18" t="n"/>
      <c r="F72" s="23" t="n"/>
      <c r="G72" s="17" t="inlineStr">
        <is>
          <t>Visuel OEM de gamme/couleur — suffixe source à confirmer — Photo Canon 069 Black / 5094C001, Genuine OEM.</t>
        </is>
      </c>
      <c r="H72" s="27" t="inlineStr">
        <is>
          <t>Ouvrir la source</t>
        </is>
      </c>
    </row>
    <row r="73" ht="60" customHeight="1">
      <c r="A73" s="15" t="inlineStr">
        <is>
          <t>CANON069C</t>
        </is>
      </c>
      <c r="B73" s="28" t="inlineStr">
        <is>
          <t>Photo exacte à ajouter</t>
        </is>
      </c>
      <c r="C73" s="17" t="inlineStr">
        <is>
          <t>Cartouche/toner Canon — CANON069C (cyan / couleur)</t>
        </is>
      </c>
      <c r="D73" s="18" t="n">
        <v>14000</v>
      </c>
      <c r="E73" s="18" t="n"/>
      <c r="F73" s="23" t="n"/>
      <c r="G73" s="29" t="inlineStr">
        <is>
          <t>Photo à ajouter — aucune image OEM assez fiable trouvée.</t>
        </is>
      </c>
    </row>
    <row r="74" ht="60" customHeight="1">
      <c r="A74" s="15" t="inlineStr">
        <is>
          <t>CANON070</t>
        </is>
      </c>
      <c r="C74" s="17" t="inlineStr">
        <is>
          <t>Cartouche/toner Canon — CANON070 (couleur à préciser)</t>
        </is>
      </c>
      <c r="D74" s="18" t="n">
        <v>14000</v>
      </c>
      <c r="E74" s="18" t="n"/>
      <c r="F74" s="23" t="n"/>
      <c r="G74" s="17" t="inlineStr">
        <is>
          <t>Photo Web du modèle / gamme — Photo Canon 070 Black / 5639C001.</t>
        </is>
      </c>
      <c r="H74" s="27" t="inlineStr">
        <is>
          <t>Ouvrir la source</t>
        </is>
      </c>
    </row>
    <row r="75" ht="60" customHeight="1">
      <c r="A75" s="15" t="inlineStr">
        <is>
          <t>CANON071</t>
        </is>
      </c>
      <c r="C75" s="17" t="inlineStr">
        <is>
          <t>Cartouche/toner Canon — CANON071 (couleur à préciser)</t>
        </is>
      </c>
      <c r="D75" s="18" t="n">
        <v>13000</v>
      </c>
      <c r="E75" s="18" t="n"/>
      <c r="F75" s="23" t="n"/>
      <c r="G75" s="17" t="inlineStr">
        <is>
          <t>Photo Web du modèle / gamme — Photo Canon 071 / 5645C001.</t>
        </is>
      </c>
      <c r="H75" s="27" t="inlineStr">
        <is>
          <t>Ouvrir la source</t>
        </is>
      </c>
    </row>
    <row r="76" ht="60" customHeight="1">
      <c r="A76" s="15" t="inlineStr">
        <is>
          <t>CANON725</t>
        </is>
      </c>
      <c r="C76" s="17" t="inlineStr">
        <is>
          <t>Cartouche/toner Canon — CANON725 (couleur à préciser)</t>
        </is>
      </c>
      <c r="D76" s="18" t="n">
        <v>3800</v>
      </c>
      <c r="E76" s="18" t="n"/>
      <c r="F76" s="23" t="n"/>
      <c r="G76" s="17" t="inlineStr">
        <is>
          <t>Photo Web du modèle / gamme — Photo Canon 725 noire originale / 3484B002.</t>
        </is>
      </c>
      <c r="H76" s="27" t="inlineStr">
        <is>
          <t>Ouvrir la source</t>
        </is>
      </c>
    </row>
    <row r="77" ht="60" customHeight="1">
      <c r="A77" s="15" t="inlineStr">
        <is>
          <t>CANON719</t>
        </is>
      </c>
      <c r="C77" s="17" t="inlineStr">
        <is>
          <t>Cartouche/toner Canon — CANON719 (couleur à préciser)</t>
        </is>
      </c>
      <c r="D77" s="18" t="n">
        <v>5000</v>
      </c>
      <c r="E77" s="18" t="n"/>
      <c r="F77" s="23" t="n"/>
      <c r="G77" s="17" t="inlineStr">
        <is>
          <t>Visuel de famille / équivalence — à vérifier — Visuel Canon 119 / 3479B001, équivalence de gamme 719 à vérifier.</t>
        </is>
      </c>
      <c r="H77" s="27" t="inlineStr">
        <is>
          <t>Ouvrir la source</t>
        </is>
      </c>
    </row>
    <row r="78" ht="60" customHeight="1">
      <c r="A78" s="15" t="inlineStr">
        <is>
          <t>CANN047</t>
        </is>
      </c>
      <c r="C78" s="17" t="inlineStr">
        <is>
          <t>Cartouche/toner Canon — CANN047 (couleur à préciser)</t>
        </is>
      </c>
      <c r="D78" s="18" t="n">
        <v>20000</v>
      </c>
      <c r="E78" s="18" t="n"/>
      <c r="F78" s="23" t="n"/>
      <c r="G78" s="17" t="inlineStr">
        <is>
          <t>Visuel de famille / équivalence — à vérifier — Photo Canon 047 / 2164C001; code source CANN047 à vérifier.</t>
        </is>
      </c>
      <c r="H78" s="27" t="inlineStr">
        <is>
          <t>Ouvrir la source</t>
        </is>
      </c>
    </row>
    <row r="79" ht="60" customHeight="1">
      <c r="A79" s="15" t="inlineStr">
        <is>
          <t>CANON052</t>
        </is>
      </c>
      <c r="B79" s="28" t="inlineStr">
        <is>
          <t>Photo exacte à ajouter</t>
        </is>
      </c>
      <c r="C79" s="17" t="inlineStr">
        <is>
          <t>Cartouche/toner Canon — CANON052 (couleur à préciser)</t>
        </is>
      </c>
      <c r="D79" s="18" t="n">
        <v>9000</v>
      </c>
      <c r="E79" s="18" t="n"/>
      <c r="F79" s="23" t="n"/>
      <c r="G79" s="29" t="inlineStr">
        <is>
          <t>Photo à ajouter — aucune image OEM assez fiable trouvée.</t>
        </is>
      </c>
    </row>
    <row r="80" ht="60" customHeight="1">
      <c r="A80" s="15" t="inlineStr">
        <is>
          <t>CANON057</t>
        </is>
      </c>
      <c r="C80" s="17" t="inlineStr">
        <is>
          <t>Cartouche/toner Canon — CANON057 (couleur à préciser)</t>
        </is>
      </c>
      <c r="D80" s="18" t="n">
        <v>13000</v>
      </c>
      <c r="E80" s="18" t="n"/>
      <c r="F80" s="23" t="n"/>
      <c r="G80" s="17" t="inlineStr">
        <is>
          <t>Photo Web du modèle / gamme — Photo Canon 057 / 3009C001 original.</t>
        </is>
      </c>
      <c r="H80" s="27" t="inlineStr">
        <is>
          <t>Ouvrir la source</t>
        </is>
      </c>
    </row>
    <row r="81" ht="60" customHeight="1">
      <c r="A81" s="15" t="inlineStr">
        <is>
          <t>CANON728</t>
        </is>
      </c>
      <c r="C81" s="17" t="inlineStr">
        <is>
          <t>Cartouche/toner Canon — CANON728 (couleur à préciser)</t>
        </is>
      </c>
      <c r="D81" s="18" t="n">
        <v>4000</v>
      </c>
      <c r="E81" s="18" t="n"/>
      <c r="F81" s="23" t="n"/>
      <c r="G81" s="17" t="inlineStr">
        <is>
          <t>Photo Web du modèle / gamme — Photo Canon 728 noire originale.</t>
        </is>
      </c>
      <c r="H81" s="27" t="inlineStr">
        <is>
          <t>Ouvrir la source</t>
        </is>
      </c>
    </row>
    <row r="82" ht="60" customHeight="1">
      <c r="A82" s="15" t="inlineStr">
        <is>
          <t>CEXVV28N</t>
        </is>
      </c>
      <c r="C82" s="17" t="inlineStr">
        <is>
          <t>Toner photocopieur Canon — CEXVV28N (noir)</t>
        </is>
      </c>
      <c r="D82" s="18" t="n">
        <v>17000</v>
      </c>
      <c r="E82" s="18" t="n"/>
      <c r="F82" s="23" t="n"/>
      <c r="G82" s="17" t="inlineStr">
        <is>
          <t>Visuel de famille / équivalence — à vérifier — Photo Canon C-EXV28 noire; la référence source contient un V supplémentaire.</t>
        </is>
      </c>
      <c r="H82" s="27" t="inlineStr">
        <is>
          <t>Ouvrir la source</t>
        </is>
      </c>
    </row>
    <row r="83" ht="60" customHeight="1">
      <c r="A83" s="15" t="inlineStr">
        <is>
          <t>CEXV28C</t>
        </is>
      </c>
      <c r="C83" s="17" t="inlineStr">
        <is>
          <t>Toner photocopieur Canon — CEXV28C (cyan / couleur)</t>
        </is>
      </c>
      <c r="D83" s="18" t="n">
        <v>17000</v>
      </c>
      <c r="E83" s="18" t="n"/>
      <c r="F83" s="23" t="n"/>
      <c r="G83" s="17" t="inlineStr">
        <is>
          <t>Photo de la gamme Canon C-EXV — Photo Canon C-EXV28 Cyan; visuel de gamme.</t>
        </is>
      </c>
      <c r="H83" s="27" t="inlineStr">
        <is>
          <t>Ouvrir la source</t>
        </is>
      </c>
    </row>
    <row r="84" ht="60" customHeight="1">
      <c r="A84" s="15" t="inlineStr">
        <is>
          <t>CEXV29N</t>
        </is>
      </c>
      <c r="C84" s="17" t="inlineStr">
        <is>
          <t>Toner photocopieur Canon — CEXV29N (noir)</t>
        </is>
      </c>
      <c r="D84" s="18" t="n">
        <v>17000</v>
      </c>
      <c r="E84" s="18" t="n"/>
      <c r="F84" s="23" t="n"/>
      <c r="G84" s="17" t="inlineStr">
        <is>
          <t>Photo de la gamme Canon C-EXV — Photo Canon C-EXV29 noire originale.</t>
        </is>
      </c>
      <c r="H84" s="27" t="inlineStr">
        <is>
          <t>Ouvrir la source</t>
        </is>
      </c>
    </row>
    <row r="85" ht="60" customHeight="1">
      <c r="A85" s="15" t="inlineStr">
        <is>
          <t>CEXV29C</t>
        </is>
      </c>
      <c r="C85" s="17" t="inlineStr">
        <is>
          <t>Toner photocopieur Canon — CEXV29C (cyan / couleur)</t>
        </is>
      </c>
      <c r="D85" s="18" t="n">
        <v>17000</v>
      </c>
      <c r="E85" s="18" t="n"/>
      <c r="F85" s="23" t="n"/>
      <c r="G85" s="17" t="inlineStr">
        <is>
          <t>Photo de la gamme Canon C-EXV — Photo Canon C-EXV29 Cyan Genuine.</t>
        </is>
      </c>
      <c r="H85" s="27" t="inlineStr">
        <is>
          <t>Ouvrir la source</t>
        </is>
      </c>
    </row>
    <row r="86" ht="60" customHeight="1">
      <c r="A86" s="15" t="inlineStr">
        <is>
          <t>CEXV33</t>
        </is>
      </c>
      <c r="C86" s="17" t="inlineStr">
        <is>
          <t>Toner photocopieur Canon — CEXV33 (couleur à préciser)</t>
        </is>
      </c>
      <c r="D86" s="18" t="n">
        <v>4000</v>
      </c>
      <c r="E86" s="18" t="n"/>
      <c r="F86" s="23" t="n"/>
      <c r="G86" s="17" t="inlineStr">
        <is>
          <t>Photo de la gamme Canon C-EXV — Photo Canon C-EXV33 noire.</t>
        </is>
      </c>
      <c r="H86" s="27" t="inlineStr">
        <is>
          <t>Ouvrir la source</t>
        </is>
      </c>
    </row>
    <row r="87" ht="60" customHeight="1">
      <c r="A87" s="15" t="inlineStr">
        <is>
          <t>CEXV42</t>
        </is>
      </c>
      <c r="C87" s="17" t="inlineStr">
        <is>
          <t>Toner photocopieur Canon — CEXV42 (couleur à préciser)</t>
        </is>
      </c>
      <c r="D87" s="18" t="n">
        <v>4000</v>
      </c>
      <c r="E87" s="18" t="n"/>
      <c r="F87" s="23" t="n"/>
      <c r="G87" s="17" t="inlineStr">
        <is>
          <t>Photo de la gamme Canon C-EXV — Photo Canon C-EXV42 Genuine.</t>
        </is>
      </c>
      <c r="H87" s="27" t="inlineStr">
        <is>
          <t>Ouvrir la source</t>
        </is>
      </c>
    </row>
    <row r="88" ht="60" customHeight="1">
      <c r="A88" s="15" t="inlineStr">
        <is>
          <t>CEXV54</t>
        </is>
      </c>
      <c r="C88" s="17" t="inlineStr">
        <is>
          <t>Toner photocopieur Canon — CEXV54 (couleur à préciser)</t>
        </is>
      </c>
      <c r="D88" s="18" t="n">
        <v>15000</v>
      </c>
      <c r="E88" s="18" t="n"/>
      <c r="F88" s="23" t="n"/>
      <c r="G88" s="17" t="inlineStr">
        <is>
          <t>Photo de la gamme Canon C-EXV — Photo Canon C-EXV54 noire originale.</t>
        </is>
      </c>
      <c r="H88" s="27" t="inlineStr">
        <is>
          <t>Ouvrir la source</t>
        </is>
      </c>
    </row>
    <row r="89" ht="60" customHeight="1">
      <c r="A89" s="15" t="inlineStr">
        <is>
          <t>CEXV60</t>
        </is>
      </c>
      <c r="C89" s="17" t="inlineStr">
        <is>
          <t>Toner photocopieur Canon — CEXV60 (couleur à préciser)</t>
        </is>
      </c>
      <c r="D89" s="18" t="n">
        <v>4000</v>
      </c>
      <c r="E89" s="18" t="n"/>
      <c r="F89" s="23" t="n"/>
      <c r="G89" s="17" t="inlineStr">
        <is>
          <t>Photo de la gamme Canon C-EXV — Photo Canon C-EXV60 noire originale.</t>
        </is>
      </c>
      <c r="H89" s="27" t="inlineStr">
        <is>
          <t>Ouvrir la source</t>
        </is>
      </c>
    </row>
    <row r="90" ht="60" customHeight="1">
      <c r="A90" s="15" t="inlineStr">
        <is>
          <t>CEXV65</t>
        </is>
      </c>
      <c r="B90" s="28" t="inlineStr">
        <is>
          <t>Photo exacte à ajouter</t>
        </is>
      </c>
      <c r="C90" s="17" t="inlineStr">
        <is>
          <t>Toner photocopieur Canon — CEXV65 (couleur à préciser)</t>
        </is>
      </c>
      <c r="D90" s="18" t="n">
        <v>19000</v>
      </c>
      <c r="E90" s="18" t="n"/>
      <c r="F90" s="23" t="n"/>
      <c r="G90" s="29" t="inlineStr">
        <is>
          <t>Photo à ajouter — aucune image OEM assez fiable trouvée.</t>
        </is>
      </c>
    </row>
    <row r="91" ht="60" customHeight="1">
      <c r="A91" s="15" t="inlineStr">
        <is>
          <t>CEXV54C</t>
        </is>
      </c>
      <c r="C91" s="17" t="inlineStr">
        <is>
          <t>Toner photocopieur Canon — CEXV54C (cyan / couleur)</t>
        </is>
      </c>
      <c r="D91" s="18" t="n">
        <v>15000</v>
      </c>
      <c r="E91" s="18" t="n"/>
      <c r="F91" s="23" t="n"/>
      <c r="G91" s="17" t="inlineStr">
        <is>
          <t>Photo de la gamme Canon C-EXV — Photo Canon C-EXV54 Cyan / 1395C002.</t>
        </is>
      </c>
      <c r="H91" s="27" t="inlineStr">
        <is>
          <t>Ouvrir la source</t>
        </is>
      </c>
    </row>
  </sheetData>
  <mergeCells count="2">
    <mergeCell ref="A2:H2"/>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4" r:id="rId69"/>
    <hyperlink xmlns:r="http://schemas.openxmlformats.org/officeDocument/2006/relationships" ref="H75" r:id="rId70"/>
    <hyperlink xmlns:r="http://schemas.openxmlformats.org/officeDocument/2006/relationships" ref="H76" r:id="rId71"/>
    <hyperlink xmlns:r="http://schemas.openxmlformats.org/officeDocument/2006/relationships" ref="H77" r:id="rId72"/>
    <hyperlink xmlns:r="http://schemas.openxmlformats.org/officeDocument/2006/relationships" ref="H78" r:id="rId73"/>
    <hyperlink xmlns:r="http://schemas.openxmlformats.org/officeDocument/2006/relationships" ref="H80" r:id="rId74"/>
    <hyperlink xmlns:r="http://schemas.openxmlformats.org/officeDocument/2006/relationships" ref="H81" r:id="rId75"/>
    <hyperlink xmlns:r="http://schemas.openxmlformats.org/officeDocument/2006/relationships" ref="H82" r:id="rId76"/>
    <hyperlink xmlns:r="http://schemas.openxmlformats.org/officeDocument/2006/relationships" ref="H83" r:id="rId77"/>
    <hyperlink xmlns:r="http://schemas.openxmlformats.org/officeDocument/2006/relationships" ref="H84" r:id="rId78"/>
    <hyperlink xmlns:r="http://schemas.openxmlformats.org/officeDocument/2006/relationships" ref="H85" r:id="rId79"/>
    <hyperlink xmlns:r="http://schemas.openxmlformats.org/officeDocument/2006/relationships" ref="H86" r:id="rId80"/>
    <hyperlink xmlns:r="http://schemas.openxmlformats.org/officeDocument/2006/relationships" ref="H87" r:id="rId81"/>
    <hyperlink xmlns:r="http://schemas.openxmlformats.org/officeDocument/2006/relationships" ref="H88" r:id="rId82"/>
    <hyperlink xmlns:r="http://schemas.openxmlformats.org/officeDocument/2006/relationships" ref="H89" r:id="rId83"/>
    <hyperlink xmlns:r="http://schemas.openxmlformats.org/officeDocument/2006/relationships" ref="H91" r:id="rId84"/>
  </hyperlinks>
  <pageMargins left="0.25" right="0.25" top="0.5" bottom="0.5" header="0.5" footer="0.5"/>
  <pageSetup orientation="landscape" paperSize="8" fitToHeight="0" fitToWidth="1"/>
  <drawing xmlns:r="http://schemas.openxmlformats.org/officeDocument/2006/relationships" r:id="rId85"/>
  <legacyDrawing xmlns:r="http://schemas.openxmlformats.org/officeDocument/2006/relationships" r:id="anysvml"/>
</worksheet>
</file>

<file path=xl/worksheets/sheet4.xml><?xml version="1.0" encoding="utf-8"?>
<worksheet xmlns="http://schemas.openxmlformats.org/spreadsheetml/2006/main">
  <sheetPr>
    <tabColor rgb="001F4E78"/>
    <outlinePr summaryBelow="1" summaryRight="1"/>
    <pageSetUpPr fitToPage="1"/>
  </sheetPr>
  <dimension ref="A1:L504"/>
  <sheetViews>
    <sheetView showGridLines="0" zoomScale="85" workbookViewId="0">
      <pane ySplit="4" topLeftCell="A5" activePane="bottomLeft" state="frozen"/>
      <selection pane="bottomLeft" activeCell="A1" sqref="A1"/>
    </sheetView>
  </sheetViews>
  <sheetFormatPr baseColWidth="8" defaultRowHeight="20"/>
  <cols>
    <col width="15" customWidth="1" min="1" max="1"/>
    <col width="18" customWidth="1" min="2" max="2"/>
    <col width="26" customWidth="1" min="3" max="3"/>
    <col width="18" customWidth="1" min="4" max="4"/>
    <col width="43" customWidth="1" min="5" max="5"/>
    <col width="10" customWidth="1" min="6" max="6"/>
    <col width="22" customWidth="1" min="7" max="7"/>
    <col width="13" customWidth="1" min="8" max="8"/>
    <col width="20" customWidth="1" min="9" max="9"/>
    <col width="23" customWidth="1" min="10" max="10"/>
    <col width="20" customWidth="1" min="11" max="11"/>
    <col width="36" customWidth="1" min="12" max="12"/>
  </cols>
  <sheetData>
    <row r="1" ht="36" customHeight="1">
      <c r="A1" s="1" t="inlineStr">
        <is>
          <t>Journal des ventes</t>
        </is>
      </c>
    </row>
    <row r="2" ht="30" customHeight="1">
      <c r="A2" s="2" t="inlineStr">
        <is>
          <t>Choisir une référence; la désignation et le prix client se reprennent de « Base produits ». Renseigner d’abord le prix client sur cette base.</t>
        </is>
      </c>
    </row>
    <row r="4" ht="40" customHeight="1">
      <c r="A4" s="13" t="inlineStr">
        <is>
          <t>Date</t>
        </is>
      </c>
      <c r="B4" s="13" t="inlineStr">
        <is>
          <t>N° facture</t>
        </is>
      </c>
      <c r="C4" s="13" t="inlineStr">
        <is>
          <t>Client</t>
        </is>
      </c>
      <c r="D4" s="13" t="inlineStr">
        <is>
          <t>Référence</t>
        </is>
      </c>
      <c r="E4" s="13" t="inlineStr">
        <is>
          <t>Désignation</t>
        </is>
      </c>
      <c r="F4" s="13" t="inlineStr">
        <is>
          <t>Qté</t>
        </is>
      </c>
      <c r="G4" s="13" t="inlineStr">
        <is>
          <t>Prix vente unitaire HT</t>
        </is>
      </c>
      <c r="H4" s="13" t="inlineStr">
        <is>
          <t>Remise %</t>
        </is>
      </c>
      <c r="I4" s="13" t="inlineStr">
        <is>
          <t>Total ligne HT</t>
        </is>
      </c>
      <c r="J4" s="13" t="inlineStr">
        <is>
          <t>Marge brute estimée HT</t>
        </is>
      </c>
      <c r="K4" s="13" t="inlineStr">
        <is>
          <t>Mode de paiement</t>
        </is>
      </c>
      <c r="L4" s="13" t="inlineStr">
        <is>
          <t>Note</t>
        </is>
      </c>
    </row>
    <row r="5" ht="23" customHeight="1">
      <c r="A5" s="30" t="n"/>
      <c r="B5" s="23" t="n"/>
      <c r="C5" s="29" t="n"/>
      <c r="D5" s="23" t="n"/>
      <c r="E5" s="31">
        <f>IF($D5="","",IFERROR(VLOOKUP($D5,'Base produits'!$B$5:$F$91,5,FALSE),""))</f>
        <v/>
      </c>
      <c r="F5" s="23" t="n"/>
      <c r="G5" s="21">
        <f>IF($D5="","",IFERROR(IF(VLOOKUP($D5,'Base produits'!$B$5:$J$91,9,FALSE)="","",VLOOKUP($D5,'Base produits'!$B$5:$J$91,9,FALSE)),""))</f>
        <v/>
      </c>
      <c r="H5" s="32" t="n"/>
      <c r="I5" s="21">
        <f>IF(OR($D5="",$F5="",$G5=""),"",$F5*$G5*(1-IFERROR($H5,0)))</f>
        <v/>
      </c>
      <c r="J5" s="21">
        <f>IF(OR($D5="",$F5="",$G5=""),"",($G5-IFERROR(VLOOKUP($D5,'Base produits'!$B$5:$H$91,7,FALSE),0))*$F5*(1-IFERROR($H5,0)))</f>
        <v/>
      </c>
      <c r="K5" s="23" t="n"/>
      <c r="L5" s="29" t="n"/>
    </row>
    <row r="6" ht="23" customHeight="1">
      <c r="A6" s="30" t="n"/>
      <c r="B6" s="23" t="n"/>
      <c r="C6" s="29" t="n"/>
      <c r="D6" s="23" t="n"/>
      <c r="E6" s="31">
        <f>IF($D6="","",IFERROR(VLOOKUP($D6,'Base produits'!$B$5:$F$91,5,FALSE),""))</f>
        <v/>
      </c>
      <c r="F6" s="23" t="n"/>
      <c r="G6" s="21">
        <f>IF($D6="","",IFERROR(IF(VLOOKUP($D6,'Base produits'!$B$5:$J$91,9,FALSE)="","",VLOOKUP($D6,'Base produits'!$B$5:$J$91,9,FALSE)),""))</f>
        <v/>
      </c>
      <c r="H6" s="32" t="n"/>
      <c r="I6" s="21">
        <f>IF(OR($D6="",$F6="",$G6=""),"",$F6*$G6*(1-IFERROR($H6,0)))</f>
        <v/>
      </c>
      <c r="J6" s="21">
        <f>IF(OR($D6="",$F6="",$G6=""),"",($G6-IFERROR(VLOOKUP($D6,'Base produits'!$B$5:$H$91,7,FALSE),0))*$F6*(1-IFERROR($H6,0)))</f>
        <v/>
      </c>
      <c r="K6" s="23" t="n"/>
      <c r="L6" s="29" t="n"/>
    </row>
    <row r="7" ht="23" customHeight="1">
      <c r="A7" s="30" t="n"/>
      <c r="B7" s="23" t="n"/>
      <c r="C7" s="29" t="n"/>
      <c r="D7" s="23" t="n"/>
      <c r="E7" s="31">
        <f>IF($D7="","",IFERROR(VLOOKUP($D7,'Base produits'!$B$5:$F$91,5,FALSE),""))</f>
        <v/>
      </c>
      <c r="F7" s="23" t="n"/>
      <c r="G7" s="21">
        <f>IF($D7="","",IFERROR(IF(VLOOKUP($D7,'Base produits'!$B$5:$J$91,9,FALSE)="","",VLOOKUP($D7,'Base produits'!$B$5:$J$91,9,FALSE)),""))</f>
        <v/>
      </c>
      <c r="H7" s="32" t="n"/>
      <c r="I7" s="21">
        <f>IF(OR($D7="",$F7="",$G7=""),"",$F7*$G7*(1-IFERROR($H7,0)))</f>
        <v/>
      </c>
      <c r="J7" s="21">
        <f>IF(OR($D7="",$F7="",$G7=""),"",($G7-IFERROR(VLOOKUP($D7,'Base produits'!$B$5:$H$91,7,FALSE),0))*$F7*(1-IFERROR($H7,0)))</f>
        <v/>
      </c>
      <c r="K7" s="23" t="n"/>
      <c r="L7" s="29" t="n"/>
    </row>
    <row r="8" ht="23" customHeight="1">
      <c r="A8" s="30" t="n"/>
      <c r="B8" s="23" t="n"/>
      <c r="C8" s="29" t="n"/>
      <c r="D8" s="23" t="n"/>
      <c r="E8" s="31">
        <f>IF($D8="","",IFERROR(VLOOKUP($D8,'Base produits'!$B$5:$F$91,5,FALSE),""))</f>
        <v/>
      </c>
      <c r="F8" s="23" t="n"/>
      <c r="G8" s="21">
        <f>IF($D8="","",IFERROR(IF(VLOOKUP($D8,'Base produits'!$B$5:$J$91,9,FALSE)="","",VLOOKUP($D8,'Base produits'!$B$5:$J$91,9,FALSE)),""))</f>
        <v/>
      </c>
      <c r="H8" s="32" t="n"/>
      <c r="I8" s="21">
        <f>IF(OR($D8="",$F8="",$G8=""),"",$F8*$G8*(1-IFERROR($H8,0)))</f>
        <v/>
      </c>
      <c r="J8" s="21">
        <f>IF(OR($D8="",$F8="",$G8=""),"",($G8-IFERROR(VLOOKUP($D8,'Base produits'!$B$5:$H$91,7,FALSE),0))*$F8*(1-IFERROR($H8,0)))</f>
        <v/>
      </c>
      <c r="K8" s="23" t="n"/>
      <c r="L8" s="29" t="n"/>
    </row>
    <row r="9" ht="23" customHeight="1">
      <c r="A9" s="30" t="n"/>
      <c r="B9" s="23" t="n"/>
      <c r="C9" s="29" t="n"/>
      <c r="D9" s="23" t="n"/>
      <c r="E9" s="31">
        <f>IF($D9="","",IFERROR(VLOOKUP($D9,'Base produits'!$B$5:$F$91,5,FALSE),""))</f>
        <v/>
      </c>
      <c r="F9" s="23" t="n"/>
      <c r="G9" s="21">
        <f>IF($D9="","",IFERROR(IF(VLOOKUP($D9,'Base produits'!$B$5:$J$91,9,FALSE)="","",VLOOKUP($D9,'Base produits'!$B$5:$J$91,9,FALSE)),""))</f>
        <v/>
      </c>
      <c r="H9" s="32" t="n"/>
      <c r="I9" s="21">
        <f>IF(OR($D9="",$F9="",$G9=""),"",$F9*$G9*(1-IFERROR($H9,0)))</f>
        <v/>
      </c>
      <c r="J9" s="21">
        <f>IF(OR($D9="",$F9="",$G9=""),"",($G9-IFERROR(VLOOKUP($D9,'Base produits'!$B$5:$H$91,7,FALSE),0))*$F9*(1-IFERROR($H9,0)))</f>
        <v/>
      </c>
      <c r="K9" s="23" t="n"/>
      <c r="L9" s="29" t="n"/>
    </row>
    <row r="10" ht="23" customHeight="1">
      <c r="A10" s="30" t="n"/>
      <c r="B10" s="23" t="n"/>
      <c r="C10" s="29" t="n"/>
      <c r="D10" s="23" t="n"/>
      <c r="E10" s="31">
        <f>IF($D10="","",IFERROR(VLOOKUP($D10,'Base produits'!$B$5:$F$91,5,FALSE),""))</f>
        <v/>
      </c>
      <c r="F10" s="23" t="n"/>
      <c r="G10" s="21">
        <f>IF($D10="","",IFERROR(IF(VLOOKUP($D10,'Base produits'!$B$5:$J$91,9,FALSE)="","",VLOOKUP($D10,'Base produits'!$B$5:$J$91,9,FALSE)),""))</f>
        <v/>
      </c>
      <c r="H10" s="32" t="n"/>
      <c r="I10" s="21">
        <f>IF(OR($D10="",$F10="",$G10=""),"",$F10*$G10*(1-IFERROR($H10,0)))</f>
        <v/>
      </c>
      <c r="J10" s="21">
        <f>IF(OR($D10="",$F10="",$G10=""),"",($G10-IFERROR(VLOOKUP($D10,'Base produits'!$B$5:$H$91,7,FALSE),0))*$F10*(1-IFERROR($H10,0)))</f>
        <v/>
      </c>
      <c r="K10" s="23" t="n"/>
      <c r="L10" s="29" t="n"/>
    </row>
    <row r="11" ht="23" customHeight="1">
      <c r="A11" s="30" t="n"/>
      <c r="B11" s="23" t="n"/>
      <c r="C11" s="29" t="n"/>
      <c r="D11" s="23" t="n"/>
      <c r="E11" s="31">
        <f>IF($D11="","",IFERROR(VLOOKUP($D11,'Base produits'!$B$5:$F$91,5,FALSE),""))</f>
        <v/>
      </c>
      <c r="F11" s="23" t="n"/>
      <c r="G11" s="21">
        <f>IF($D11="","",IFERROR(IF(VLOOKUP($D11,'Base produits'!$B$5:$J$91,9,FALSE)="","",VLOOKUP($D11,'Base produits'!$B$5:$J$91,9,FALSE)),""))</f>
        <v/>
      </c>
      <c r="H11" s="32" t="n"/>
      <c r="I11" s="21">
        <f>IF(OR($D11="",$F11="",$G11=""),"",$F11*$G11*(1-IFERROR($H11,0)))</f>
        <v/>
      </c>
      <c r="J11" s="21">
        <f>IF(OR($D11="",$F11="",$G11=""),"",($G11-IFERROR(VLOOKUP($D11,'Base produits'!$B$5:$H$91,7,FALSE),0))*$F11*(1-IFERROR($H11,0)))</f>
        <v/>
      </c>
      <c r="K11" s="23" t="n"/>
      <c r="L11" s="29" t="n"/>
    </row>
    <row r="12" ht="23" customHeight="1">
      <c r="A12" s="30" t="n"/>
      <c r="B12" s="23" t="n"/>
      <c r="C12" s="29" t="n"/>
      <c r="D12" s="23" t="n"/>
      <c r="E12" s="31">
        <f>IF($D12="","",IFERROR(VLOOKUP($D12,'Base produits'!$B$5:$F$91,5,FALSE),""))</f>
        <v/>
      </c>
      <c r="F12" s="23" t="n"/>
      <c r="G12" s="21">
        <f>IF($D12="","",IFERROR(IF(VLOOKUP($D12,'Base produits'!$B$5:$J$91,9,FALSE)="","",VLOOKUP($D12,'Base produits'!$B$5:$J$91,9,FALSE)),""))</f>
        <v/>
      </c>
      <c r="H12" s="32" t="n"/>
      <c r="I12" s="21">
        <f>IF(OR($D12="",$F12="",$G12=""),"",$F12*$G12*(1-IFERROR($H12,0)))</f>
        <v/>
      </c>
      <c r="J12" s="21">
        <f>IF(OR($D12="",$F12="",$G12=""),"",($G12-IFERROR(VLOOKUP($D12,'Base produits'!$B$5:$H$91,7,FALSE),0))*$F12*(1-IFERROR($H12,0)))</f>
        <v/>
      </c>
      <c r="K12" s="23" t="n"/>
      <c r="L12" s="29" t="n"/>
    </row>
    <row r="13" ht="23" customHeight="1">
      <c r="A13" s="30" t="n"/>
      <c r="B13" s="23" t="n"/>
      <c r="C13" s="29" t="n"/>
      <c r="D13" s="23" t="n"/>
      <c r="E13" s="31">
        <f>IF($D13="","",IFERROR(VLOOKUP($D13,'Base produits'!$B$5:$F$91,5,FALSE),""))</f>
        <v/>
      </c>
      <c r="F13" s="23" t="n"/>
      <c r="G13" s="21">
        <f>IF($D13="","",IFERROR(IF(VLOOKUP($D13,'Base produits'!$B$5:$J$91,9,FALSE)="","",VLOOKUP($D13,'Base produits'!$B$5:$J$91,9,FALSE)),""))</f>
        <v/>
      </c>
      <c r="H13" s="32" t="n"/>
      <c r="I13" s="21">
        <f>IF(OR($D13="",$F13="",$G13=""),"",$F13*$G13*(1-IFERROR($H13,0)))</f>
        <v/>
      </c>
      <c r="J13" s="21">
        <f>IF(OR($D13="",$F13="",$G13=""),"",($G13-IFERROR(VLOOKUP($D13,'Base produits'!$B$5:$H$91,7,FALSE),0))*$F13*(1-IFERROR($H13,0)))</f>
        <v/>
      </c>
      <c r="K13" s="23" t="n"/>
      <c r="L13" s="29" t="n"/>
    </row>
    <row r="14" ht="23" customHeight="1">
      <c r="A14" s="30" t="n"/>
      <c r="B14" s="23" t="n"/>
      <c r="C14" s="29" t="n"/>
      <c r="D14" s="23" t="n"/>
      <c r="E14" s="31">
        <f>IF($D14="","",IFERROR(VLOOKUP($D14,'Base produits'!$B$5:$F$91,5,FALSE),""))</f>
        <v/>
      </c>
      <c r="F14" s="23" t="n"/>
      <c r="G14" s="21">
        <f>IF($D14="","",IFERROR(IF(VLOOKUP($D14,'Base produits'!$B$5:$J$91,9,FALSE)="","",VLOOKUP($D14,'Base produits'!$B$5:$J$91,9,FALSE)),""))</f>
        <v/>
      </c>
      <c r="H14" s="32" t="n"/>
      <c r="I14" s="21">
        <f>IF(OR($D14="",$F14="",$G14=""),"",$F14*$G14*(1-IFERROR($H14,0)))</f>
        <v/>
      </c>
      <c r="J14" s="21">
        <f>IF(OR($D14="",$F14="",$G14=""),"",($G14-IFERROR(VLOOKUP($D14,'Base produits'!$B$5:$H$91,7,FALSE),0))*$F14*(1-IFERROR($H14,0)))</f>
        <v/>
      </c>
      <c r="K14" s="23" t="n"/>
      <c r="L14" s="29" t="n"/>
    </row>
    <row r="15" ht="23" customHeight="1">
      <c r="A15" s="30" t="n"/>
      <c r="B15" s="23" t="n"/>
      <c r="C15" s="29" t="n"/>
      <c r="D15" s="23" t="n"/>
      <c r="E15" s="31">
        <f>IF($D15="","",IFERROR(VLOOKUP($D15,'Base produits'!$B$5:$F$91,5,FALSE),""))</f>
        <v/>
      </c>
      <c r="F15" s="23" t="n"/>
      <c r="G15" s="21">
        <f>IF($D15="","",IFERROR(IF(VLOOKUP($D15,'Base produits'!$B$5:$J$91,9,FALSE)="","",VLOOKUP($D15,'Base produits'!$B$5:$J$91,9,FALSE)),""))</f>
        <v/>
      </c>
      <c r="H15" s="32" t="n"/>
      <c r="I15" s="21">
        <f>IF(OR($D15="",$F15="",$G15=""),"",$F15*$G15*(1-IFERROR($H15,0)))</f>
        <v/>
      </c>
      <c r="J15" s="21">
        <f>IF(OR($D15="",$F15="",$G15=""),"",($G15-IFERROR(VLOOKUP($D15,'Base produits'!$B$5:$H$91,7,FALSE),0))*$F15*(1-IFERROR($H15,0)))</f>
        <v/>
      </c>
      <c r="K15" s="23" t="n"/>
      <c r="L15" s="29" t="n"/>
    </row>
    <row r="16" ht="23" customHeight="1">
      <c r="A16" s="30" t="n"/>
      <c r="B16" s="23" t="n"/>
      <c r="C16" s="29" t="n"/>
      <c r="D16" s="23" t="n"/>
      <c r="E16" s="31">
        <f>IF($D16="","",IFERROR(VLOOKUP($D16,'Base produits'!$B$5:$F$91,5,FALSE),""))</f>
        <v/>
      </c>
      <c r="F16" s="23" t="n"/>
      <c r="G16" s="21">
        <f>IF($D16="","",IFERROR(IF(VLOOKUP($D16,'Base produits'!$B$5:$J$91,9,FALSE)="","",VLOOKUP($D16,'Base produits'!$B$5:$J$91,9,FALSE)),""))</f>
        <v/>
      </c>
      <c r="H16" s="32" t="n"/>
      <c r="I16" s="21">
        <f>IF(OR($D16="",$F16="",$G16=""),"",$F16*$G16*(1-IFERROR($H16,0)))</f>
        <v/>
      </c>
      <c r="J16" s="21">
        <f>IF(OR($D16="",$F16="",$G16=""),"",($G16-IFERROR(VLOOKUP($D16,'Base produits'!$B$5:$H$91,7,FALSE),0))*$F16*(1-IFERROR($H16,0)))</f>
        <v/>
      </c>
      <c r="K16" s="23" t="n"/>
      <c r="L16" s="29" t="n"/>
    </row>
    <row r="17" ht="23" customHeight="1">
      <c r="A17" s="30" t="n"/>
      <c r="B17" s="23" t="n"/>
      <c r="C17" s="29" t="n"/>
      <c r="D17" s="23" t="n"/>
      <c r="E17" s="31">
        <f>IF($D17="","",IFERROR(VLOOKUP($D17,'Base produits'!$B$5:$F$91,5,FALSE),""))</f>
        <v/>
      </c>
      <c r="F17" s="23" t="n"/>
      <c r="G17" s="21">
        <f>IF($D17="","",IFERROR(IF(VLOOKUP($D17,'Base produits'!$B$5:$J$91,9,FALSE)="","",VLOOKUP($D17,'Base produits'!$B$5:$J$91,9,FALSE)),""))</f>
        <v/>
      </c>
      <c r="H17" s="32" t="n"/>
      <c r="I17" s="21">
        <f>IF(OR($D17="",$F17="",$G17=""),"",$F17*$G17*(1-IFERROR($H17,0)))</f>
        <v/>
      </c>
      <c r="J17" s="21">
        <f>IF(OR($D17="",$F17="",$G17=""),"",($G17-IFERROR(VLOOKUP($D17,'Base produits'!$B$5:$H$91,7,FALSE),0))*$F17*(1-IFERROR($H17,0)))</f>
        <v/>
      </c>
      <c r="K17" s="23" t="n"/>
      <c r="L17" s="29" t="n"/>
    </row>
    <row r="18" ht="23" customHeight="1">
      <c r="A18" s="30" t="n"/>
      <c r="B18" s="23" t="n"/>
      <c r="C18" s="29" t="n"/>
      <c r="D18" s="23" t="n"/>
      <c r="E18" s="31">
        <f>IF($D18="","",IFERROR(VLOOKUP($D18,'Base produits'!$B$5:$F$91,5,FALSE),""))</f>
        <v/>
      </c>
      <c r="F18" s="23" t="n"/>
      <c r="G18" s="21">
        <f>IF($D18="","",IFERROR(IF(VLOOKUP($D18,'Base produits'!$B$5:$J$91,9,FALSE)="","",VLOOKUP($D18,'Base produits'!$B$5:$J$91,9,FALSE)),""))</f>
        <v/>
      </c>
      <c r="H18" s="32" t="n"/>
      <c r="I18" s="21">
        <f>IF(OR($D18="",$F18="",$G18=""),"",$F18*$G18*(1-IFERROR($H18,0)))</f>
        <v/>
      </c>
      <c r="J18" s="21">
        <f>IF(OR($D18="",$F18="",$G18=""),"",($G18-IFERROR(VLOOKUP($D18,'Base produits'!$B$5:$H$91,7,FALSE),0))*$F18*(1-IFERROR($H18,0)))</f>
        <v/>
      </c>
      <c r="K18" s="23" t="n"/>
      <c r="L18" s="29" t="n"/>
    </row>
    <row r="19" ht="23" customHeight="1">
      <c r="A19" s="30" t="n"/>
      <c r="B19" s="23" t="n"/>
      <c r="C19" s="29" t="n"/>
      <c r="D19" s="23" t="n"/>
      <c r="E19" s="31">
        <f>IF($D19="","",IFERROR(VLOOKUP($D19,'Base produits'!$B$5:$F$91,5,FALSE),""))</f>
        <v/>
      </c>
      <c r="F19" s="23" t="n"/>
      <c r="G19" s="21">
        <f>IF($D19="","",IFERROR(IF(VLOOKUP($D19,'Base produits'!$B$5:$J$91,9,FALSE)="","",VLOOKUP($D19,'Base produits'!$B$5:$J$91,9,FALSE)),""))</f>
        <v/>
      </c>
      <c r="H19" s="32" t="n"/>
      <c r="I19" s="21">
        <f>IF(OR($D19="",$F19="",$G19=""),"",$F19*$G19*(1-IFERROR($H19,0)))</f>
        <v/>
      </c>
      <c r="J19" s="21">
        <f>IF(OR($D19="",$F19="",$G19=""),"",($G19-IFERROR(VLOOKUP($D19,'Base produits'!$B$5:$H$91,7,FALSE),0))*$F19*(1-IFERROR($H19,0)))</f>
        <v/>
      </c>
      <c r="K19" s="23" t="n"/>
      <c r="L19" s="29" t="n"/>
    </row>
    <row r="20" ht="23" customHeight="1">
      <c r="A20" s="30" t="n"/>
      <c r="B20" s="23" t="n"/>
      <c r="C20" s="29" t="n"/>
      <c r="D20" s="23" t="n"/>
      <c r="E20" s="31">
        <f>IF($D20="","",IFERROR(VLOOKUP($D20,'Base produits'!$B$5:$F$91,5,FALSE),""))</f>
        <v/>
      </c>
      <c r="F20" s="23" t="n"/>
      <c r="G20" s="21">
        <f>IF($D20="","",IFERROR(IF(VLOOKUP($D20,'Base produits'!$B$5:$J$91,9,FALSE)="","",VLOOKUP($D20,'Base produits'!$B$5:$J$91,9,FALSE)),""))</f>
        <v/>
      </c>
      <c r="H20" s="32" t="n"/>
      <c r="I20" s="21">
        <f>IF(OR($D20="",$F20="",$G20=""),"",$F20*$G20*(1-IFERROR($H20,0)))</f>
        <v/>
      </c>
      <c r="J20" s="21">
        <f>IF(OR($D20="",$F20="",$G20=""),"",($G20-IFERROR(VLOOKUP($D20,'Base produits'!$B$5:$H$91,7,FALSE),0))*$F20*(1-IFERROR($H20,0)))</f>
        <v/>
      </c>
      <c r="K20" s="23" t="n"/>
      <c r="L20" s="29" t="n"/>
    </row>
    <row r="21" ht="23" customHeight="1">
      <c r="A21" s="30" t="n"/>
      <c r="B21" s="23" t="n"/>
      <c r="C21" s="29" t="n"/>
      <c r="D21" s="23" t="n"/>
      <c r="E21" s="31">
        <f>IF($D21="","",IFERROR(VLOOKUP($D21,'Base produits'!$B$5:$F$91,5,FALSE),""))</f>
        <v/>
      </c>
      <c r="F21" s="23" t="n"/>
      <c r="G21" s="21">
        <f>IF($D21="","",IFERROR(IF(VLOOKUP($D21,'Base produits'!$B$5:$J$91,9,FALSE)="","",VLOOKUP($D21,'Base produits'!$B$5:$J$91,9,FALSE)),""))</f>
        <v/>
      </c>
      <c r="H21" s="32" t="n"/>
      <c r="I21" s="21">
        <f>IF(OR($D21="",$F21="",$G21=""),"",$F21*$G21*(1-IFERROR($H21,0)))</f>
        <v/>
      </c>
      <c r="J21" s="21">
        <f>IF(OR($D21="",$F21="",$G21=""),"",($G21-IFERROR(VLOOKUP($D21,'Base produits'!$B$5:$H$91,7,FALSE),0))*$F21*(1-IFERROR($H21,0)))</f>
        <v/>
      </c>
      <c r="K21" s="23" t="n"/>
      <c r="L21" s="29" t="n"/>
    </row>
    <row r="22" ht="23" customHeight="1">
      <c r="A22" s="30" t="n"/>
      <c r="B22" s="23" t="n"/>
      <c r="C22" s="29" t="n"/>
      <c r="D22" s="23" t="n"/>
      <c r="E22" s="31">
        <f>IF($D22="","",IFERROR(VLOOKUP($D22,'Base produits'!$B$5:$F$91,5,FALSE),""))</f>
        <v/>
      </c>
      <c r="F22" s="23" t="n"/>
      <c r="G22" s="21">
        <f>IF($D22="","",IFERROR(IF(VLOOKUP($D22,'Base produits'!$B$5:$J$91,9,FALSE)="","",VLOOKUP($D22,'Base produits'!$B$5:$J$91,9,FALSE)),""))</f>
        <v/>
      </c>
      <c r="H22" s="32" t="n"/>
      <c r="I22" s="21">
        <f>IF(OR($D22="",$F22="",$G22=""),"",$F22*$G22*(1-IFERROR($H22,0)))</f>
        <v/>
      </c>
      <c r="J22" s="21">
        <f>IF(OR($D22="",$F22="",$G22=""),"",($G22-IFERROR(VLOOKUP($D22,'Base produits'!$B$5:$H$91,7,FALSE),0))*$F22*(1-IFERROR($H22,0)))</f>
        <v/>
      </c>
      <c r="K22" s="23" t="n"/>
      <c r="L22" s="29" t="n"/>
    </row>
    <row r="23" ht="23" customHeight="1">
      <c r="A23" s="30" t="n"/>
      <c r="B23" s="23" t="n"/>
      <c r="C23" s="29" t="n"/>
      <c r="D23" s="23" t="n"/>
      <c r="E23" s="31">
        <f>IF($D23="","",IFERROR(VLOOKUP($D23,'Base produits'!$B$5:$F$91,5,FALSE),""))</f>
        <v/>
      </c>
      <c r="F23" s="23" t="n"/>
      <c r="G23" s="21">
        <f>IF($D23="","",IFERROR(IF(VLOOKUP($D23,'Base produits'!$B$5:$J$91,9,FALSE)="","",VLOOKUP($D23,'Base produits'!$B$5:$J$91,9,FALSE)),""))</f>
        <v/>
      </c>
      <c r="H23" s="32" t="n"/>
      <c r="I23" s="21">
        <f>IF(OR($D23="",$F23="",$G23=""),"",$F23*$G23*(1-IFERROR($H23,0)))</f>
        <v/>
      </c>
      <c r="J23" s="21">
        <f>IF(OR($D23="",$F23="",$G23=""),"",($G23-IFERROR(VLOOKUP($D23,'Base produits'!$B$5:$H$91,7,FALSE),0))*$F23*(1-IFERROR($H23,0)))</f>
        <v/>
      </c>
      <c r="K23" s="23" t="n"/>
      <c r="L23" s="29" t="n"/>
    </row>
    <row r="24" ht="23" customHeight="1">
      <c r="A24" s="30" t="n"/>
      <c r="B24" s="23" t="n"/>
      <c r="C24" s="29" t="n"/>
      <c r="D24" s="23" t="n"/>
      <c r="E24" s="31">
        <f>IF($D24="","",IFERROR(VLOOKUP($D24,'Base produits'!$B$5:$F$91,5,FALSE),""))</f>
        <v/>
      </c>
      <c r="F24" s="23" t="n"/>
      <c r="G24" s="21">
        <f>IF($D24="","",IFERROR(IF(VLOOKUP($D24,'Base produits'!$B$5:$J$91,9,FALSE)="","",VLOOKUP($D24,'Base produits'!$B$5:$J$91,9,FALSE)),""))</f>
        <v/>
      </c>
      <c r="H24" s="32" t="n"/>
      <c r="I24" s="21">
        <f>IF(OR($D24="",$F24="",$G24=""),"",$F24*$G24*(1-IFERROR($H24,0)))</f>
        <v/>
      </c>
      <c r="J24" s="21">
        <f>IF(OR($D24="",$F24="",$G24=""),"",($G24-IFERROR(VLOOKUP($D24,'Base produits'!$B$5:$H$91,7,FALSE),0))*$F24*(1-IFERROR($H24,0)))</f>
        <v/>
      </c>
      <c r="K24" s="23" t="n"/>
      <c r="L24" s="29" t="n"/>
    </row>
    <row r="25" ht="23" customHeight="1">
      <c r="A25" s="30" t="n"/>
      <c r="B25" s="23" t="n"/>
      <c r="C25" s="29" t="n"/>
      <c r="D25" s="23" t="n"/>
      <c r="E25" s="31">
        <f>IF($D25="","",IFERROR(VLOOKUP($D25,'Base produits'!$B$5:$F$91,5,FALSE),""))</f>
        <v/>
      </c>
      <c r="F25" s="23" t="n"/>
      <c r="G25" s="21">
        <f>IF($D25="","",IFERROR(IF(VLOOKUP($D25,'Base produits'!$B$5:$J$91,9,FALSE)="","",VLOOKUP($D25,'Base produits'!$B$5:$J$91,9,FALSE)),""))</f>
        <v/>
      </c>
      <c r="H25" s="32" t="n"/>
      <c r="I25" s="21">
        <f>IF(OR($D25="",$F25="",$G25=""),"",$F25*$G25*(1-IFERROR($H25,0)))</f>
        <v/>
      </c>
      <c r="J25" s="21">
        <f>IF(OR($D25="",$F25="",$G25=""),"",($G25-IFERROR(VLOOKUP($D25,'Base produits'!$B$5:$H$91,7,FALSE),0))*$F25*(1-IFERROR($H25,0)))</f>
        <v/>
      </c>
      <c r="K25" s="23" t="n"/>
      <c r="L25" s="29" t="n"/>
    </row>
    <row r="26" ht="23" customHeight="1">
      <c r="A26" s="30" t="n"/>
      <c r="B26" s="23" t="n"/>
      <c r="C26" s="29" t="n"/>
      <c r="D26" s="23" t="n"/>
      <c r="E26" s="31">
        <f>IF($D26="","",IFERROR(VLOOKUP($D26,'Base produits'!$B$5:$F$91,5,FALSE),""))</f>
        <v/>
      </c>
      <c r="F26" s="23" t="n"/>
      <c r="G26" s="21">
        <f>IF($D26="","",IFERROR(IF(VLOOKUP($D26,'Base produits'!$B$5:$J$91,9,FALSE)="","",VLOOKUP($D26,'Base produits'!$B$5:$J$91,9,FALSE)),""))</f>
        <v/>
      </c>
      <c r="H26" s="32" t="n"/>
      <c r="I26" s="21">
        <f>IF(OR($D26="",$F26="",$G26=""),"",$F26*$G26*(1-IFERROR($H26,0)))</f>
        <v/>
      </c>
      <c r="J26" s="21">
        <f>IF(OR($D26="",$F26="",$G26=""),"",($G26-IFERROR(VLOOKUP($D26,'Base produits'!$B$5:$H$91,7,FALSE),0))*$F26*(1-IFERROR($H26,0)))</f>
        <v/>
      </c>
      <c r="K26" s="23" t="n"/>
      <c r="L26" s="29" t="n"/>
    </row>
    <row r="27" ht="23" customHeight="1">
      <c r="A27" s="30" t="n"/>
      <c r="B27" s="23" t="n"/>
      <c r="C27" s="29" t="n"/>
      <c r="D27" s="23" t="n"/>
      <c r="E27" s="31">
        <f>IF($D27="","",IFERROR(VLOOKUP($D27,'Base produits'!$B$5:$F$91,5,FALSE),""))</f>
        <v/>
      </c>
      <c r="F27" s="23" t="n"/>
      <c r="G27" s="21">
        <f>IF($D27="","",IFERROR(IF(VLOOKUP($D27,'Base produits'!$B$5:$J$91,9,FALSE)="","",VLOOKUP($D27,'Base produits'!$B$5:$J$91,9,FALSE)),""))</f>
        <v/>
      </c>
      <c r="H27" s="32" t="n"/>
      <c r="I27" s="21">
        <f>IF(OR($D27="",$F27="",$G27=""),"",$F27*$G27*(1-IFERROR($H27,0)))</f>
        <v/>
      </c>
      <c r="J27" s="21">
        <f>IF(OR($D27="",$F27="",$G27=""),"",($G27-IFERROR(VLOOKUP($D27,'Base produits'!$B$5:$H$91,7,FALSE),0))*$F27*(1-IFERROR($H27,0)))</f>
        <v/>
      </c>
      <c r="K27" s="23" t="n"/>
      <c r="L27" s="29" t="n"/>
    </row>
    <row r="28" ht="23" customHeight="1">
      <c r="A28" s="30" t="n"/>
      <c r="B28" s="23" t="n"/>
      <c r="C28" s="29" t="n"/>
      <c r="D28" s="23" t="n"/>
      <c r="E28" s="31">
        <f>IF($D28="","",IFERROR(VLOOKUP($D28,'Base produits'!$B$5:$F$91,5,FALSE),""))</f>
        <v/>
      </c>
      <c r="F28" s="23" t="n"/>
      <c r="G28" s="21">
        <f>IF($D28="","",IFERROR(IF(VLOOKUP($D28,'Base produits'!$B$5:$J$91,9,FALSE)="","",VLOOKUP($D28,'Base produits'!$B$5:$J$91,9,FALSE)),""))</f>
        <v/>
      </c>
      <c r="H28" s="32" t="n"/>
      <c r="I28" s="21">
        <f>IF(OR($D28="",$F28="",$G28=""),"",$F28*$G28*(1-IFERROR($H28,0)))</f>
        <v/>
      </c>
      <c r="J28" s="21">
        <f>IF(OR($D28="",$F28="",$G28=""),"",($G28-IFERROR(VLOOKUP($D28,'Base produits'!$B$5:$H$91,7,FALSE),0))*$F28*(1-IFERROR($H28,0)))</f>
        <v/>
      </c>
      <c r="K28" s="23" t="n"/>
      <c r="L28" s="29" t="n"/>
    </row>
    <row r="29" ht="23" customHeight="1">
      <c r="A29" s="30" t="n"/>
      <c r="B29" s="23" t="n"/>
      <c r="C29" s="29" t="n"/>
      <c r="D29" s="23" t="n"/>
      <c r="E29" s="31">
        <f>IF($D29="","",IFERROR(VLOOKUP($D29,'Base produits'!$B$5:$F$91,5,FALSE),""))</f>
        <v/>
      </c>
      <c r="F29" s="23" t="n"/>
      <c r="G29" s="21">
        <f>IF($D29="","",IFERROR(IF(VLOOKUP($D29,'Base produits'!$B$5:$J$91,9,FALSE)="","",VLOOKUP($D29,'Base produits'!$B$5:$J$91,9,FALSE)),""))</f>
        <v/>
      </c>
      <c r="H29" s="32" t="n"/>
      <c r="I29" s="21">
        <f>IF(OR($D29="",$F29="",$G29=""),"",$F29*$G29*(1-IFERROR($H29,0)))</f>
        <v/>
      </c>
      <c r="J29" s="21">
        <f>IF(OR($D29="",$F29="",$G29=""),"",($G29-IFERROR(VLOOKUP($D29,'Base produits'!$B$5:$H$91,7,FALSE),0))*$F29*(1-IFERROR($H29,0)))</f>
        <v/>
      </c>
      <c r="K29" s="23" t="n"/>
      <c r="L29" s="29" t="n"/>
    </row>
    <row r="30" ht="23" customHeight="1">
      <c r="A30" s="30" t="n"/>
      <c r="B30" s="23" t="n"/>
      <c r="C30" s="29" t="n"/>
      <c r="D30" s="23" t="n"/>
      <c r="E30" s="31">
        <f>IF($D30="","",IFERROR(VLOOKUP($D30,'Base produits'!$B$5:$F$91,5,FALSE),""))</f>
        <v/>
      </c>
      <c r="F30" s="23" t="n"/>
      <c r="G30" s="21">
        <f>IF($D30="","",IFERROR(IF(VLOOKUP($D30,'Base produits'!$B$5:$J$91,9,FALSE)="","",VLOOKUP($D30,'Base produits'!$B$5:$J$91,9,FALSE)),""))</f>
        <v/>
      </c>
      <c r="H30" s="32" t="n"/>
      <c r="I30" s="21">
        <f>IF(OR($D30="",$F30="",$G30=""),"",$F30*$G30*(1-IFERROR($H30,0)))</f>
        <v/>
      </c>
      <c r="J30" s="21">
        <f>IF(OR($D30="",$F30="",$G30=""),"",($G30-IFERROR(VLOOKUP($D30,'Base produits'!$B$5:$H$91,7,FALSE),0))*$F30*(1-IFERROR($H30,0)))</f>
        <v/>
      </c>
      <c r="K30" s="23" t="n"/>
      <c r="L30" s="29" t="n"/>
    </row>
    <row r="31" ht="23" customHeight="1">
      <c r="A31" s="30" t="n"/>
      <c r="B31" s="23" t="n"/>
      <c r="C31" s="29" t="n"/>
      <c r="D31" s="23" t="n"/>
      <c r="E31" s="31">
        <f>IF($D31="","",IFERROR(VLOOKUP($D31,'Base produits'!$B$5:$F$91,5,FALSE),""))</f>
        <v/>
      </c>
      <c r="F31" s="23" t="n"/>
      <c r="G31" s="21">
        <f>IF($D31="","",IFERROR(IF(VLOOKUP($D31,'Base produits'!$B$5:$J$91,9,FALSE)="","",VLOOKUP($D31,'Base produits'!$B$5:$J$91,9,FALSE)),""))</f>
        <v/>
      </c>
      <c r="H31" s="32" t="n"/>
      <c r="I31" s="21">
        <f>IF(OR($D31="",$F31="",$G31=""),"",$F31*$G31*(1-IFERROR($H31,0)))</f>
        <v/>
      </c>
      <c r="J31" s="21">
        <f>IF(OR($D31="",$F31="",$G31=""),"",($G31-IFERROR(VLOOKUP($D31,'Base produits'!$B$5:$H$91,7,FALSE),0))*$F31*(1-IFERROR($H31,0)))</f>
        <v/>
      </c>
      <c r="K31" s="23" t="n"/>
      <c r="L31" s="29" t="n"/>
    </row>
    <row r="32" ht="23" customHeight="1">
      <c r="A32" s="30" t="n"/>
      <c r="B32" s="23" t="n"/>
      <c r="C32" s="29" t="n"/>
      <c r="D32" s="23" t="n"/>
      <c r="E32" s="31">
        <f>IF($D32="","",IFERROR(VLOOKUP($D32,'Base produits'!$B$5:$F$91,5,FALSE),""))</f>
        <v/>
      </c>
      <c r="F32" s="23" t="n"/>
      <c r="G32" s="21">
        <f>IF($D32="","",IFERROR(IF(VLOOKUP($D32,'Base produits'!$B$5:$J$91,9,FALSE)="","",VLOOKUP($D32,'Base produits'!$B$5:$J$91,9,FALSE)),""))</f>
        <v/>
      </c>
      <c r="H32" s="32" t="n"/>
      <c r="I32" s="21">
        <f>IF(OR($D32="",$F32="",$G32=""),"",$F32*$G32*(1-IFERROR($H32,0)))</f>
        <v/>
      </c>
      <c r="J32" s="21">
        <f>IF(OR($D32="",$F32="",$G32=""),"",($G32-IFERROR(VLOOKUP($D32,'Base produits'!$B$5:$H$91,7,FALSE),0))*$F32*(1-IFERROR($H32,0)))</f>
        <v/>
      </c>
      <c r="K32" s="23" t="n"/>
      <c r="L32" s="29" t="n"/>
    </row>
    <row r="33" ht="23" customHeight="1">
      <c r="A33" s="30" t="n"/>
      <c r="B33" s="23" t="n"/>
      <c r="C33" s="29" t="n"/>
      <c r="D33" s="23" t="n"/>
      <c r="E33" s="31">
        <f>IF($D33="","",IFERROR(VLOOKUP($D33,'Base produits'!$B$5:$F$91,5,FALSE),""))</f>
        <v/>
      </c>
      <c r="F33" s="23" t="n"/>
      <c r="G33" s="21">
        <f>IF($D33="","",IFERROR(IF(VLOOKUP($D33,'Base produits'!$B$5:$J$91,9,FALSE)="","",VLOOKUP($D33,'Base produits'!$B$5:$J$91,9,FALSE)),""))</f>
        <v/>
      </c>
      <c r="H33" s="32" t="n"/>
      <c r="I33" s="21">
        <f>IF(OR($D33="",$F33="",$G33=""),"",$F33*$G33*(1-IFERROR($H33,0)))</f>
        <v/>
      </c>
      <c r="J33" s="21">
        <f>IF(OR($D33="",$F33="",$G33=""),"",($G33-IFERROR(VLOOKUP($D33,'Base produits'!$B$5:$H$91,7,FALSE),0))*$F33*(1-IFERROR($H33,0)))</f>
        <v/>
      </c>
      <c r="K33" s="23" t="n"/>
      <c r="L33" s="29" t="n"/>
    </row>
    <row r="34" ht="23" customHeight="1">
      <c r="A34" s="30" t="n"/>
      <c r="B34" s="23" t="n"/>
      <c r="C34" s="29" t="n"/>
      <c r="D34" s="23" t="n"/>
      <c r="E34" s="31">
        <f>IF($D34="","",IFERROR(VLOOKUP($D34,'Base produits'!$B$5:$F$91,5,FALSE),""))</f>
        <v/>
      </c>
      <c r="F34" s="23" t="n"/>
      <c r="G34" s="21">
        <f>IF($D34="","",IFERROR(IF(VLOOKUP($D34,'Base produits'!$B$5:$J$91,9,FALSE)="","",VLOOKUP($D34,'Base produits'!$B$5:$J$91,9,FALSE)),""))</f>
        <v/>
      </c>
      <c r="H34" s="32" t="n"/>
      <c r="I34" s="21">
        <f>IF(OR($D34="",$F34="",$G34=""),"",$F34*$G34*(1-IFERROR($H34,0)))</f>
        <v/>
      </c>
      <c r="J34" s="21">
        <f>IF(OR($D34="",$F34="",$G34=""),"",($G34-IFERROR(VLOOKUP($D34,'Base produits'!$B$5:$H$91,7,FALSE),0))*$F34*(1-IFERROR($H34,0)))</f>
        <v/>
      </c>
      <c r="K34" s="23" t="n"/>
      <c r="L34" s="29" t="n"/>
    </row>
    <row r="35" ht="23" customHeight="1">
      <c r="A35" s="30" t="n"/>
      <c r="B35" s="23" t="n"/>
      <c r="C35" s="29" t="n"/>
      <c r="D35" s="23" t="n"/>
      <c r="E35" s="31">
        <f>IF($D35="","",IFERROR(VLOOKUP($D35,'Base produits'!$B$5:$F$91,5,FALSE),""))</f>
        <v/>
      </c>
      <c r="F35" s="23" t="n"/>
      <c r="G35" s="21">
        <f>IF($D35="","",IFERROR(IF(VLOOKUP($D35,'Base produits'!$B$5:$J$91,9,FALSE)="","",VLOOKUP($D35,'Base produits'!$B$5:$J$91,9,FALSE)),""))</f>
        <v/>
      </c>
      <c r="H35" s="32" t="n"/>
      <c r="I35" s="21">
        <f>IF(OR($D35="",$F35="",$G35=""),"",$F35*$G35*(1-IFERROR($H35,0)))</f>
        <v/>
      </c>
      <c r="J35" s="21">
        <f>IF(OR($D35="",$F35="",$G35=""),"",($G35-IFERROR(VLOOKUP($D35,'Base produits'!$B$5:$H$91,7,FALSE),0))*$F35*(1-IFERROR($H35,0)))</f>
        <v/>
      </c>
      <c r="K35" s="23" t="n"/>
      <c r="L35" s="29" t="n"/>
    </row>
    <row r="36" ht="23" customHeight="1">
      <c r="A36" s="30" t="n"/>
      <c r="B36" s="23" t="n"/>
      <c r="C36" s="29" t="n"/>
      <c r="D36" s="23" t="n"/>
      <c r="E36" s="31">
        <f>IF($D36="","",IFERROR(VLOOKUP($D36,'Base produits'!$B$5:$F$91,5,FALSE),""))</f>
        <v/>
      </c>
      <c r="F36" s="23" t="n"/>
      <c r="G36" s="21">
        <f>IF($D36="","",IFERROR(IF(VLOOKUP($D36,'Base produits'!$B$5:$J$91,9,FALSE)="","",VLOOKUP($D36,'Base produits'!$B$5:$J$91,9,FALSE)),""))</f>
        <v/>
      </c>
      <c r="H36" s="32" t="n"/>
      <c r="I36" s="21">
        <f>IF(OR($D36="",$F36="",$G36=""),"",$F36*$G36*(1-IFERROR($H36,0)))</f>
        <v/>
      </c>
      <c r="J36" s="21">
        <f>IF(OR($D36="",$F36="",$G36=""),"",($G36-IFERROR(VLOOKUP($D36,'Base produits'!$B$5:$H$91,7,FALSE),0))*$F36*(1-IFERROR($H36,0)))</f>
        <v/>
      </c>
      <c r="K36" s="23" t="n"/>
      <c r="L36" s="29" t="n"/>
    </row>
    <row r="37" ht="23" customHeight="1">
      <c r="A37" s="30" t="n"/>
      <c r="B37" s="23" t="n"/>
      <c r="C37" s="29" t="n"/>
      <c r="D37" s="23" t="n"/>
      <c r="E37" s="31">
        <f>IF($D37="","",IFERROR(VLOOKUP($D37,'Base produits'!$B$5:$F$91,5,FALSE),""))</f>
        <v/>
      </c>
      <c r="F37" s="23" t="n"/>
      <c r="G37" s="21">
        <f>IF($D37="","",IFERROR(IF(VLOOKUP($D37,'Base produits'!$B$5:$J$91,9,FALSE)="","",VLOOKUP($D37,'Base produits'!$B$5:$J$91,9,FALSE)),""))</f>
        <v/>
      </c>
      <c r="H37" s="32" t="n"/>
      <c r="I37" s="21">
        <f>IF(OR($D37="",$F37="",$G37=""),"",$F37*$G37*(1-IFERROR($H37,0)))</f>
        <v/>
      </c>
      <c r="J37" s="21">
        <f>IF(OR($D37="",$F37="",$G37=""),"",($G37-IFERROR(VLOOKUP($D37,'Base produits'!$B$5:$H$91,7,FALSE),0))*$F37*(1-IFERROR($H37,0)))</f>
        <v/>
      </c>
      <c r="K37" s="23" t="n"/>
      <c r="L37" s="29" t="n"/>
    </row>
    <row r="38" ht="23" customHeight="1">
      <c r="A38" s="30" t="n"/>
      <c r="B38" s="23" t="n"/>
      <c r="C38" s="29" t="n"/>
      <c r="D38" s="23" t="n"/>
      <c r="E38" s="31">
        <f>IF($D38="","",IFERROR(VLOOKUP($D38,'Base produits'!$B$5:$F$91,5,FALSE),""))</f>
        <v/>
      </c>
      <c r="F38" s="23" t="n"/>
      <c r="G38" s="21">
        <f>IF($D38="","",IFERROR(IF(VLOOKUP($D38,'Base produits'!$B$5:$J$91,9,FALSE)="","",VLOOKUP($D38,'Base produits'!$B$5:$J$91,9,FALSE)),""))</f>
        <v/>
      </c>
      <c r="H38" s="32" t="n"/>
      <c r="I38" s="21">
        <f>IF(OR($D38="",$F38="",$G38=""),"",$F38*$G38*(1-IFERROR($H38,0)))</f>
        <v/>
      </c>
      <c r="J38" s="21">
        <f>IF(OR($D38="",$F38="",$G38=""),"",($G38-IFERROR(VLOOKUP($D38,'Base produits'!$B$5:$H$91,7,FALSE),0))*$F38*(1-IFERROR($H38,0)))</f>
        <v/>
      </c>
      <c r="K38" s="23" t="n"/>
      <c r="L38" s="29" t="n"/>
    </row>
    <row r="39" ht="23" customHeight="1">
      <c r="A39" s="30" t="n"/>
      <c r="B39" s="23" t="n"/>
      <c r="C39" s="29" t="n"/>
      <c r="D39" s="23" t="n"/>
      <c r="E39" s="31">
        <f>IF($D39="","",IFERROR(VLOOKUP($D39,'Base produits'!$B$5:$F$91,5,FALSE),""))</f>
        <v/>
      </c>
      <c r="F39" s="23" t="n"/>
      <c r="G39" s="21">
        <f>IF($D39="","",IFERROR(IF(VLOOKUP($D39,'Base produits'!$B$5:$J$91,9,FALSE)="","",VLOOKUP($D39,'Base produits'!$B$5:$J$91,9,FALSE)),""))</f>
        <v/>
      </c>
      <c r="H39" s="32" t="n"/>
      <c r="I39" s="21">
        <f>IF(OR($D39="",$F39="",$G39=""),"",$F39*$G39*(1-IFERROR($H39,0)))</f>
        <v/>
      </c>
      <c r="J39" s="21">
        <f>IF(OR($D39="",$F39="",$G39=""),"",($G39-IFERROR(VLOOKUP($D39,'Base produits'!$B$5:$H$91,7,FALSE),0))*$F39*(1-IFERROR($H39,0)))</f>
        <v/>
      </c>
      <c r="K39" s="23" t="n"/>
      <c r="L39" s="29" t="n"/>
    </row>
    <row r="40" ht="23" customHeight="1">
      <c r="A40" s="30" t="n"/>
      <c r="B40" s="23" t="n"/>
      <c r="C40" s="29" t="n"/>
      <c r="D40" s="23" t="n"/>
      <c r="E40" s="31">
        <f>IF($D40="","",IFERROR(VLOOKUP($D40,'Base produits'!$B$5:$F$91,5,FALSE),""))</f>
        <v/>
      </c>
      <c r="F40" s="23" t="n"/>
      <c r="G40" s="21">
        <f>IF($D40="","",IFERROR(IF(VLOOKUP($D40,'Base produits'!$B$5:$J$91,9,FALSE)="","",VLOOKUP($D40,'Base produits'!$B$5:$J$91,9,FALSE)),""))</f>
        <v/>
      </c>
      <c r="H40" s="32" t="n"/>
      <c r="I40" s="21">
        <f>IF(OR($D40="",$F40="",$G40=""),"",$F40*$G40*(1-IFERROR($H40,0)))</f>
        <v/>
      </c>
      <c r="J40" s="21">
        <f>IF(OR($D40="",$F40="",$G40=""),"",($G40-IFERROR(VLOOKUP($D40,'Base produits'!$B$5:$H$91,7,FALSE),0))*$F40*(1-IFERROR($H40,0)))</f>
        <v/>
      </c>
      <c r="K40" s="23" t="n"/>
      <c r="L40" s="29" t="n"/>
    </row>
    <row r="41" ht="23" customHeight="1">
      <c r="A41" s="30" t="n"/>
      <c r="B41" s="23" t="n"/>
      <c r="C41" s="29" t="n"/>
      <c r="D41" s="23" t="n"/>
      <c r="E41" s="31">
        <f>IF($D41="","",IFERROR(VLOOKUP($D41,'Base produits'!$B$5:$F$91,5,FALSE),""))</f>
        <v/>
      </c>
      <c r="F41" s="23" t="n"/>
      <c r="G41" s="21">
        <f>IF($D41="","",IFERROR(IF(VLOOKUP($D41,'Base produits'!$B$5:$J$91,9,FALSE)="","",VLOOKUP($D41,'Base produits'!$B$5:$J$91,9,FALSE)),""))</f>
        <v/>
      </c>
      <c r="H41" s="32" t="n"/>
      <c r="I41" s="21">
        <f>IF(OR($D41="",$F41="",$G41=""),"",$F41*$G41*(1-IFERROR($H41,0)))</f>
        <v/>
      </c>
      <c r="J41" s="21">
        <f>IF(OR($D41="",$F41="",$G41=""),"",($G41-IFERROR(VLOOKUP($D41,'Base produits'!$B$5:$H$91,7,FALSE),0))*$F41*(1-IFERROR($H41,0)))</f>
        <v/>
      </c>
      <c r="K41" s="23" t="n"/>
      <c r="L41" s="29" t="n"/>
    </row>
    <row r="42" ht="23" customHeight="1">
      <c r="A42" s="30" t="n"/>
      <c r="B42" s="23" t="n"/>
      <c r="C42" s="29" t="n"/>
      <c r="D42" s="23" t="n"/>
      <c r="E42" s="31">
        <f>IF($D42="","",IFERROR(VLOOKUP($D42,'Base produits'!$B$5:$F$91,5,FALSE),""))</f>
        <v/>
      </c>
      <c r="F42" s="23" t="n"/>
      <c r="G42" s="21">
        <f>IF($D42="","",IFERROR(IF(VLOOKUP($D42,'Base produits'!$B$5:$J$91,9,FALSE)="","",VLOOKUP($D42,'Base produits'!$B$5:$J$91,9,FALSE)),""))</f>
        <v/>
      </c>
      <c r="H42" s="32" t="n"/>
      <c r="I42" s="21">
        <f>IF(OR($D42="",$F42="",$G42=""),"",$F42*$G42*(1-IFERROR($H42,0)))</f>
        <v/>
      </c>
      <c r="J42" s="21">
        <f>IF(OR($D42="",$F42="",$G42=""),"",($G42-IFERROR(VLOOKUP($D42,'Base produits'!$B$5:$H$91,7,FALSE),0))*$F42*(1-IFERROR($H42,0)))</f>
        <v/>
      </c>
      <c r="K42" s="23" t="n"/>
      <c r="L42" s="29" t="n"/>
    </row>
    <row r="43" ht="23" customHeight="1">
      <c r="A43" s="30" t="n"/>
      <c r="B43" s="23" t="n"/>
      <c r="C43" s="29" t="n"/>
      <c r="D43" s="23" t="n"/>
      <c r="E43" s="31">
        <f>IF($D43="","",IFERROR(VLOOKUP($D43,'Base produits'!$B$5:$F$91,5,FALSE),""))</f>
        <v/>
      </c>
      <c r="F43" s="23" t="n"/>
      <c r="G43" s="21">
        <f>IF($D43="","",IFERROR(IF(VLOOKUP($D43,'Base produits'!$B$5:$J$91,9,FALSE)="","",VLOOKUP($D43,'Base produits'!$B$5:$J$91,9,FALSE)),""))</f>
        <v/>
      </c>
      <c r="H43" s="32" t="n"/>
      <c r="I43" s="21">
        <f>IF(OR($D43="",$F43="",$G43=""),"",$F43*$G43*(1-IFERROR($H43,0)))</f>
        <v/>
      </c>
      <c r="J43" s="21">
        <f>IF(OR($D43="",$F43="",$G43=""),"",($G43-IFERROR(VLOOKUP($D43,'Base produits'!$B$5:$H$91,7,FALSE),0))*$F43*(1-IFERROR($H43,0)))</f>
        <v/>
      </c>
      <c r="K43" s="23" t="n"/>
      <c r="L43" s="29" t="n"/>
    </row>
    <row r="44" ht="23" customHeight="1">
      <c r="A44" s="30" t="n"/>
      <c r="B44" s="23" t="n"/>
      <c r="C44" s="29" t="n"/>
      <c r="D44" s="23" t="n"/>
      <c r="E44" s="31">
        <f>IF($D44="","",IFERROR(VLOOKUP($D44,'Base produits'!$B$5:$F$91,5,FALSE),""))</f>
        <v/>
      </c>
      <c r="F44" s="23" t="n"/>
      <c r="G44" s="21">
        <f>IF($D44="","",IFERROR(IF(VLOOKUP($D44,'Base produits'!$B$5:$J$91,9,FALSE)="","",VLOOKUP($D44,'Base produits'!$B$5:$J$91,9,FALSE)),""))</f>
        <v/>
      </c>
      <c r="H44" s="32" t="n"/>
      <c r="I44" s="21">
        <f>IF(OR($D44="",$F44="",$G44=""),"",$F44*$G44*(1-IFERROR($H44,0)))</f>
        <v/>
      </c>
      <c r="J44" s="21">
        <f>IF(OR($D44="",$F44="",$G44=""),"",($G44-IFERROR(VLOOKUP($D44,'Base produits'!$B$5:$H$91,7,FALSE),0))*$F44*(1-IFERROR($H44,0)))</f>
        <v/>
      </c>
      <c r="K44" s="23" t="n"/>
      <c r="L44" s="29" t="n"/>
    </row>
    <row r="45" ht="23" customHeight="1">
      <c r="A45" s="30" t="n"/>
      <c r="B45" s="23" t="n"/>
      <c r="C45" s="29" t="n"/>
      <c r="D45" s="23" t="n"/>
      <c r="E45" s="31">
        <f>IF($D45="","",IFERROR(VLOOKUP($D45,'Base produits'!$B$5:$F$91,5,FALSE),""))</f>
        <v/>
      </c>
      <c r="F45" s="23" t="n"/>
      <c r="G45" s="21">
        <f>IF($D45="","",IFERROR(IF(VLOOKUP($D45,'Base produits'!$B$5:$J$91,9,FALSE)="","",VLOOKUP($D45,'Base produits'!$B$5:$J$91,9,FALSE)),""))</f>
        <v/>
      </c>
      <c r="H45" s="32" t="n"/>
      <c r="I45" s="21">
        <f>IF(OR($D45="",$F45="",$G45=""),"",$F45*$G45*(1-IFERROR($H45,0)))</f>
        <v/>
      </c>
      <c r="J45" s="21">
        <f>IF(OR($D45="",$F45="",$G45=""),"",($G45-IFERROR(VLOOKUP($D45,'Base produits'!$B$5:$H$91,7,FALSE),0))*$F45*(1-IFERROR($H45,0)))</f>
        <v/>
      </c>
      <c r="K45" s="23" t="n"/>
      <c r="L45" s="29" t="n"/>
    </row>
    <row r="46" ht="23" customHeight="1">
      <c r="A46" s="30" t="n"/>
      <c r="B46" s="23" t="n"/>
      <c r="C46" s="29" t="n"/>
      <c r="D46" s="23" t="n"/>
      <c r="E46" s="31">
        <f>IF($D46="","",IFERROR(VLOOKUP($D46,'Base produits'!$B$5:$F$91,5,FALSE),""))</f>
        <v/>
      </c>
      <c r="F46" s="23" t="n"/>
      <c r="G46" s="21">
        <f>IF($D46="","",IFERROR(IF(VLOOKUP($D46,'Base produits'!$B$5:$J$91,9,FALSE)="","",VLOOKUP($D46,'Base produits'!$B$5:$J$91,9,FALSE)),""))</f>
        <v/>
      </c>
      <c r="H46" s="32" t="n"/>
      <c r="I46" s="21">
        <f>IF(OR($D46="",$F46="",$G46=""),"",$F46*$G46*(1-IFERROR($H46,0)))</f>
        <v/>
      </c>
      <c r="J46" s="21">
        <f>IF(OR($D46="",$F46="",$G46=""),"",($G46-IFERROR(VLOOKUP($D46,'Base produits'!$B$5:$H$91,7,FALSE),0))*$F46*(1-IFERROR($H46,0)))</f>
        <v/>
      </c>
      <c r="K46" s="23" t="n"/>
      <c r="L46" s="29" t="n"/>
    </row>
    <row r="47" ht="23" customHeight="1">
      <c r="A47" s="30" t="n"/>
      <c r="B47" s="23" t="n"/>
      <c r="C47" s="29" t="n"/>
      <c r="D47" s="23" t="n"/>
      <c r="E47" s="31">
        <f>IF($D47="","",IFERROR(VLOOKUP($D47,'Base produits'!$B$5:$F$91,5,FALSE),""))</f>
        <v/>
      </c>
      <c r="F47" s="23" t="n"/>
      <c r="G47" s="21">
        <f>IF($D47="","",IFERROR(IF(VLOOKUP($D47,'Base produits'!$B$5:$J$91,9,FALSE)="","",VLOOKUP($D47,'Base produits'!$B$5:$J$91,9,FALSE)),""))</f>
        <v/>
      </c>
      <c r="H47" s="32" t="n"/>
      <c r="I47" s="21">
        <f>IF(OR($D47="",$F47="",$G47=""),"",$F47*$G47*(1-IFERROR($H47,0)))</f>
        <v/>
      </c>
      <c r="J47" s="21">
        <f>IF(OR($D47="",$F47="",$G47=""),"",($G47-IFERROR(VLOOKUP($D47,'Base produits'!$B$5:$H$91,7,FALSE),0))*$F47*(1-IFERROR($H47,0)))</f>
        <v/>
      </c>
      <c r="K47" s="23" t="n"/>
      <c r="L47" s="29" t="n"/>
    </row>
    <row r="48" ht="23" customHeight="1">
      <c r="A48" s="30" t="n"/>
      <c r="B48" s="23" t="n"/>
      <c r="C48" s="29" t="n"/>
      <c r="D48" s="23" t="n"/>
      <c r="E48" s="31">
        <f>IF($D48="","",IFERROR(VLOOKUP($D48,'Base produits'!$B$5:$F$91,5,FALSE),""))</f>
        <v/>
      </c>
      <c r="F48" s="23" t="n"/>
      <c r="G48" s="21">
        <f>IF($D48="","",IFERROR(IF(VLOOKUP($D48,'Base produits'!$B$5:$J$91,9,FALSE)="","",VLOOKUP($D48,'Base produits'!$B$5:$J$91,9,FALSE)),""))</f>
        <v/>
      </c>
      <c r="H48" s="32" t="n"/>
      <c r="I48" s="21">
        <f>IF(OR($D48="",$F48="",$G48=""),"",$F48*$G48*(1-IFERROR($H48,0)))</f>
        <v/>
      </c>
      <c r="J48" s="21">
        <f>IF(OR($D48="",$F48="",$G48=""),"",($G48-IFERROR(VLOOKUP($D48,'Base produits'!$B$5:$H$91,7,FALSE),0))*$F48*(1-IFERROR($H48,0)))</f>
        <v/>
      </c>
      <c r="K48" s="23" t="n"/>
      <c r="L48" s="29" t="n"/>
    </row>
    <row r="49" ht="23" customHeight="1">
      <c r="A49" s="30" t="n"/>
      <c r="B49" s="23" t="n"/>
      <c r="C49" s="29" t="n"/>
      <c r="D49" s="23" t="n"/>
      <c r="E49" s="31">
        <f>IF($D49="","",IFERROR(VLOOKUP($D49,'Base produits'!$B$5:$F$91,5,FALSE),""))</f>
        <v/>
      </c>
      <c r="F49" s="23" t="n"/>
      <c r="G49" s="21">
        <f>IF($D49="","",IFERROR(IF(VLOOKUP($D49,'Base produits'!$B$5:$J$91,9,FALSE)="","",VLOOKUP($D49,'Base produits'!$B$5:$J$91,9,FALSE)),""))</f>
        <v/>
      </c>
      <c r="H49" s="32" t="n"/>
      <c r="I49" s="21">
        <f>IF(OR($D49="",$F49="",$G49=""),"",$F49*$G49*(1-IFERROR($H49,0)))</f>
        <v/>
      </c>
      <c r="J49" s="21">
        <f>IF(OR($D49="",$F49="",$G49=""),"",($G49-IFERROR(VLOOKUP($D49,'Base produits'!$B$5:$H$91,7,FALSE),0))*$F49*(1-IFERROR($H49,0)))</f>
        <v/>
      </c>
      <c r="K49" s="23" t="n"/>
      <c r="L49" s="29" t="n"/>
    </row>
    <row r="50" ht="23" customHeight="1">
      <c r="A50" s="30" t="n"/>
      <c r="B50" s="23" t="n"/>
      <c r="C50" s="29" t="n"/>
      <c r="D50" s="23" t="n"/>
      <c r="E50" s="31">
        <f>IF($D50="","",IFERROR(VLOOKUP($D50,'Base produits'!$B$5:$F$91,5,FALSE),""))</f>
        <v/>
      </c>
      <c r="F50" s="23" t="n"/>
      <c r="G50" s="21">
        <f>IF($D50="","",IFERROR(IF(VLOOKUP($D50,'Base produits'!$B$5:$J$91,9,FALSE)="","",VLOOKUP($D50,'Base produits'!$B$5:$J$91,9,FALSE)),""))</f>
        <v/>
      </c>
      <c r="H50" s="32" t="n"/>
      <c r="I50" s="21">
        <f>IF(OR($D50="",$F50="",$G50=""),"",$F50*$G50*(1-IFERROR($H50,0)))</f>
        <v/>
      </c>
      <c r="J50" s="21">
        <f>IF(OR($D50="",$F50="",$G50=""),"",($G50-IFERROR(VLOOKUP($D50,'Base produits'!$B$5:$H$91,7,FALSE),0))*$F50*(1-IFERROR($H50,0)))</f>
        <v/>
      </c>
      <c r="K50" s="23" t="n"/>
      <c r="L50" s="29" t="n"/>
    </row>
    <row r="51" ht="23" customHeight="1">
      <c r="A51" s="30" t="n"/>
      <c r="B51" s="23" t="n"/>
      <c r="C51" s="29" t="n"/>
      <c r="D51" s="23" t="n"/>
      <c r="E51" s="31">
        <f>IF($D51="","",IFERROR(VLOOKUP($D51,'Base produits'!$B$5:$F$91,5,FALSE),""))</f>
        <v/>
      </c>
      <c r="F51" s="23" t="n"/>
      <c r="G51" s="21">
        <f>IF($D51="","",IFERROR(IF(VLOOKUP($D51,'Base produits'!$B$5:$J$91,9,FALSE)="","",VLOOKUP($D51,'Base produits'!$B$5:$J$91,9,FALSE)),""))</f>
        <v/>
      </c>
      <c r="H51" s="32" t="n"/>
      <c r="I51" s="21">
        <f>IF(OR($D51="",$F51="",$G51=""),"",$F51*$G51*(1-IFERROR($H51,0)))</f>
        <v/>
      </c>
      <c r="J51" s="21">
        <f>IF(OR($D51="",$F51="",$G51=""),"",($G51-IFERROR(VLOOKUP($D51,'Base produits'!$B$5:$H$91,7,FALSE),0))*$F51*(1-IFERROR($H51,0)))</f>
        <v/>
      </c>
      <c r="K51" s="23" t="n"/>
      <c r="L51" s="29" t="n"/>
    </row>
    <row r="52" ht="23" customHeight="1">
      <c r="A52" s="30" t="n"/>
      <c r="B52" s="23" t="n"/>
      <c r="C52" s="29" t="n"/>
      <c r="D52" s="23" t="n"/>
      <c r="E52" s="31">
        <f>IF($D52="","",IFERROR(VLOOKUP($D52,'Base produits'!$B$5:$F$91,5,FALSE),""))</f>
        <v/>
      </c>
      <c r="F52" s="23" t="n"/>
      <c r="G52" s="21">
        <f>IF($D52="","",IFERROR(IF(VLOOKUP($D52,'Base produits'!$B$5:$J$91,9,FALSE)="","",VLOOKUP($D52,'Base produits'!$B$5:$J$91,9,FALSE)),""))</f>
        <v/>
      </c>
      <c r="H52" s="32" t="n"/>
      <c r="I52" s="21">
        <f>IF(OR($D52="",$F52="",$G52=""),"",$F52*$G52*(1-IFERROR($H52,0)))</f>
        <v/>
      </c>
      <c r="J52" s="21">
        <f>IF(OR($D52="",$F52="",$G52=""),"",($G52-IFERROR(VLOOKUP($D52,'Base produits'!$B$5:$H$91,7,FALSE),0))*$F52*(1-IFERROR($H52,0)))</f>
        <v/>
      </c>
      <c r="K52" s="23" t="n"/>
      <c r="L52" s="29" t="n"/>
    </row>
    <row r="53" ht="23" customHeight="1">
      <c r="A53" s="30" t="n"/>
      <c r="B53" s="23" t="n"/>
      <c r="C53" s="29" t="n"/>
      <c r="D53" s="23" t="n"/>
      <c r="E53" s="31">
        <f>IF($D53="","",IFERROR(VLOOKUP($D53,'Base produits'!$B$5:$F$91,5,FALSE),""))</f>
        <v/>
      </c>
      <c r="F53" s="23" t="n"/>
      <c r="G53" s="21">
        <f>IF($D53="","",IFERROR(IF(VLOOKUP($D53,'Base produits'!$B$5:$J$91,9,FALSE)="","",VLOOKUP($D53,'Base produits'!$B$5:$J$91,9,FALSE)),""))</f>
        <v/>
      </c>
      <c r="H53" s="32" t="n"/>
      <c r="I53" s="21">
        <f>IF(OR($D53="",$F53="",$G53=""),"",$F53*$G53*(1-IFERROR($H53,0)))</f>
        <v/>
      </c>
      <c r="J53" s="21">
        <f>IF(OR($D53="",$F53="",$G53=""),"",($G53-IFERROR(VLOOKUP($D53,'Base produits'!$B$5:$H$91,7,FALSE),0))*$F53*(1-IFERROR($H53,0)))</f>
        <v/>
      </c>
      <c r="K53" s="23" t="n"/>
      <c r="L53" s="29" t="n"/>
    </row>
    <row r="54" ht="23" customHeight="1">
      <c r="A54" s="30" t="n"/>
      <c r="B54" s="23" t="n"/>
      <c r="C54" s="29" t="n"/>
      <c r="D54" s="23" t="n"/>
      <c r="E54" s="31">
        <f>IF($D54="","",IFERROR(VLOOKUP($D54,'Base produits'!$B$5:$F$91,5,FALSE),""))</f>
        <v/>
      </c>
      <c r="F54" s="23" t="n"/>
      <c r="G54" s="21">
        <f>IF($D54="","",IFERROR(IF(VLOOKUP($D54,'Base produits'!$B$5:$J$91,9,FALSE)="","",VLOOKUP($D54,'Base produits'!$B$5:$J$91,9,FALSE)),""))</f>
        <v/>
      </c>
      <c r="H54" s="32" t="n"/>
      <c r="I54" s="21">
        <f>IF(OR($D54="",$F54="",$G54=""),"",$F54*$G54*(1-IFERROR($H54,0)))</f>
        <v/>
      </c>
      <c r="J54" s="21">
        <f>IF(OR($D54="",$F54="",$G54=""),"",($G54-IFERROR(VLOOKUP($D54,'Base produits'!$B$5:$H$91,7,FALSE),0))*$F54*(1-IFERROR($H54,0)))</f>
        <v/>
      </c>
      <c r="K54" s="23" t="n"/>
      <c r="L54" s="29" t="n"/>
    </row>
    <row r="55" ht="23" customHeight="1">
      <c r="A55" s="30" t="n"/>
      <c r="B55" s="23" t="n"/>
      <c r="C55" s="29" t="n"/>
      <c r="D55" s="23" t="n"/>
      <c r="E55" s="31">
        <f>IF($D55="","",IFERROR(VLOOKUP($D55,'Base produits'!$B$5:$F$91,5,FALSE),""))</f>
        <v/>
      </c>
      <c r="F55" s="23" t="n"/>
      <c r="G55" s="21">
        <f>IF($D55="","",IFERROR(IF(VLOOKUP($D55,'Base produits'!$B$5:$J$91,9,FALSE)="","",VLOOKUP($D55,'Base produits'!$B$5:$J$91,9,FALSE)),""))</f>
        <v/>
      </c>
      <c r="H55" s="32" t="n"/>
      <c r="I55" s="21">
        <f>IF(OR($D55="",$F55="",$G55=""),"",$F55*$G55*(1-IFERROR($H55,0)))</f>
        <v/>
      </c>
      <c r="J55" s="21">
        <f>IF(OR($D55="",$F55="",$G55=""),"",($G55-IFERROR(VLOOKUP($D55,'Base produits'!$B$5:$H$91,7,FALSE),0))*$F55*(1-IFERROR($H55,0)))</f>
        <v/>
      </c>
      <c r="K55" s="23" t="n"/>
      <c r="L55" s="29" t="n"/>
    </row>
    <row r="56" ht="23" customHeight="1">
      <c r="A56" s="30" t="n"/>
      <c r="B56" s="23" t="n"/>
      <c r="C56" s="29" t="n"/>
      <c r="D56" s="23" t="n"/>
      <c r="E56" s="31">
        <f>IF($D56="","",IFERROR(VLOOKUP($D56,'Base produits'!$B$5:$F$91,5,FALSE),""))</f>
        <v/>
      </c>
      <c r="F56" s="23" t="n"/>
      <c r="G56" s="21">
        <f>IF($D56="","",IFERROR(IF(VLOOKUP($D56,'Base produits'!$B$5:$J$91,9,FALSE)="","",VLOOKUP($D56,'Base produits'!$B$5:$J$91,9,FALSE)),""))</f>
        <v/>
      </c>
      <c r="H56" s="32" t="n"/>
      <c r="I56" s="21">
        <f>IF(OR($D56="",$F56="",$G56=""),"",$F56*$G56*(1-IFERROR($H56,0)))</f>
        <v/>
      </c>
      <c r="J56" s="21">
        <f>IF(OR($D56="",$F56="",$G56=""),"",($G56-IFERROR(VLOOKUP($D56,'Base produits'!$B$5:$H$91,7,FALSE),0))*$F56*(1-IFERROR($H56,0)))</f>
        <v/>
      </c>
      <c r="K56" s="23" t="n"/>
      <c r="L56" s="29" t="n"/>
    </row>
    <row r="57" ht="23" customHeight="1">
      <c r="A57" s="30" t="n"/>
      <c r="B57" s="23" t="n"/>
      <c r="C57" s="29" t="n"/>
      <c r="D57" s="23" t="n"/>
      <c r="E57" s="31">
        <f>IF($D57="","",IFERROR(VLOOKUP($D57,'Base produits'!$B$5:$F$91,5,FALSE),""))</f>
        <v/>
      </c>
      <c r="F57" s="23" t="n"/>
      <c r="G57" s="21">
        <f>IF($D57="","",IFERROR(IF(VLOOKUP($D57,'Base produits'!$B$5:$J$91,9,FALSE)="","",VLOOKUP($D57,'Base produits'!$B$5:$J$91,9,FALSE)),""))</f>
        <v/>
      </c>
      <c r="H57" s="32" t="n"/>
      <c r="I57" s="21">
        <f>IF(OR($D57="",$F57="",$G57=""),"",$F57*$G57*(1-IFERROR($H57,0)))</f>
        <v/>
      </c>
      <c r="J57" s="21">
        <f>IF(OR($D57="",$F57="",$G57=""),"",($G57-IFERROR(VLOOKUP($D57,'Base produits'!$B$5:$H$91,7,FALSE),0))*$F57*(1-IFERROR($H57,0)))</f>
        <v/>
      </c>
      <c r="K57" s="23" t="n"/>
      <c r="L57" s="29" t="n"/>
    </row>
    <row r="58" ht="23" customHeight="1">
      <c r="A58" s="30" t="n"/>
      <c r="B58" s="23" t="n"/>
      <c r="C58" s="29" t="n"/>
      <c r="D58" s="23" t="n"/>
      <c r="E58" s="31">
        <f>IF($D58="","",IFERROR(VLOOKUP($D58,'Base produits'!$B$5:$F$91,5,FALSE),""))</f>
        <v/>
      </c>
      <c r="F58" s="23" t="n"/>
      <c r="G58" s="21">
        <f>IF($D58="","",IFERROR(IF(VLOOKUP($D58,'Base produits'!$B$5:$J$91,9,FALSE)="","",VLOOKUP($D58,'Base produits'!$B$5:$J$91,9,FALSE)),""))</f>
        <v/>
      </c>
      <c r="H58" s="32" t="n"/>
      <c r="I58" s="21">
        <f>IF(OR($D58="",$F58="",$G58=""),"",$F58*$G58*(1-IFERROR($H58,0)))</f>
        <v/>
      </c>
      <c r="J58" s="21">
        <f>IF(OR($D58="",$F58="",$G58=""),"",($G58-IFERROR(VLOOKUP($D58,'Base produits'!$B$5:$H$91,7,FALSE),0))*$F58*(1-IFERROR($H58,0)))</f>
        <v/>
      </c>
      <c r="K58" s="23" t="n"/>
      <c r="L58" s="29" t="n"/>
    </row>
    <row r="59" ht="23" customHeight="1">
      <c r="A59" s="30" t="n"/>
      <c r="B59" s="23" t="n"/>
      <c r="C59" s="29" t="n"/>
      <c r="D59" s="23" t="n"/>
      <c r="E59" s="31">
        <f>IF($D59="","",IFERROR(VLOOKUP($D59,'Base produits'!$B$5:$F$91,5,FALSE),""))</f>
        <v/>
      </c>
      <c r="F59" s="23" t="n"/>
      <c r="G59" s="21">
        <f>IF($D59="","",IFERROR(IF(VLOOKUP($D59,'Base produits'!$B$5:$J$91,9,FALSE)="","",VLOOKUP($D59,'Base produits'!$B$5:$J$91,9,FALSE)),""))</f>
        <v/>
      </c>
      <c r="H59" s="32" t="n"/>
      <c r="I59" s="21">
        <f>IF(OR($D59="",$F59="",$G59=""),"",$F59*$G59*(1-IFERROR($H59,0)))</f>
        <v/>
      </c>
      <c r="J59" s="21">
        <f>IF(OR($D59="",$F59="",$G59=""),"",($G59-IFERROR(VLOOKUP($D59,'Base produits'!$B$5:$H$91,7,FALSE),0))*$F59*(1-IFERROR($H59,0)))</f>
        <v/>
      </c>
      <c r="K59" s="23" t="n"/>
      <c r="L59" s="29" t="n"/>
    </row>
    <row r="60" ht="23" customHeight="1">
      <c r="A60" s="30" t="n"/>
      <c r="B60" s="23" t="n"/>
      <c r="C60" s="29" t="n"/>
      <c r="D60" s="23" t="n"/>
      <c r="E60" s="31">
        <f>IF($D60="","",IFERROR(VLOOKUP($D60,'Base produits'!$B$5:$F$91,5,FALSE),""))</f>
        <v/>
      </c>
      <c r="F60" s="23" t="n"/>
      <c r="G60" s="21">
        <f>IF($D60="","",IFERROR(IF(VLOOKUP($D60,'Base produits'!$B$5:$J$91,9,FALSE)="","",VLOOKUP($D60,'Base produits'!$B$5:$J$91,9,FALSE)),""))</f>
        <v/>
      </c>
      <c r="H60" s="32" t="n"/>
      <c r="I60" s="21">
        <f>IF(OR($D60="",$F60="",$G60=""),"",$F60*$G60*(1-IFERROR($H60,0)))</f>
        <v/>
      </c>
      <c r="J60" s="21">
        <f>IF(OR($D60="",$F60="",$G60=""),"",($G60-IFERROR(VLOOKUP($D60,'Base produits'!$B$5:$H$91,7,FALSE),0))*$F60*(1-IFERROR($H60,0)))</f>
        <v/>
      </c>
      <c r="K60" s="23" t="n"/>
      <c r="L60" s="29" t="n"/>
    </row>
    <row r="61" ht="23" customHeight="1">
      <c r="A61" s="30" t="n"/>
      <c r="B61" s="23" t="n"/>
      <c r="C61" s="29" t="n"/>
      <c r="D61" s="23" t="n"/>
      <c r="E61" s="31">
        <f>IF($D61="","",IFERROR(VLOOKUP($D61,'Base produits'!$B$5:$F$91,5,FALSE),""))</f>
        <v/>
      </c>
      <c r="F61" s="23" t="n"/>
      <c r="G61" s="21">
        <f>IF($D61="","",IFERROR(IF(VLOOKUP($D61,'Base produits'!$B$5:$J$91,9,FALSE)="","",VLOOKUP($D61,'Base produits'!$B$5:$J$91,9,FALSE)),""))</f>
        <v/>
      </c>
      <c r="H61" s="32" t="n"/>
      <c r="I61" s="21">
        <f>IF(OR($D61="",$F61="",$G61=""),"",$F61*$G61*(1-IFERROR($H61,0)))</f>
        <v/>
      </c>
      <c r="J61" s="21">
        <f>IF(OR($D61="",$F61="",$G61=""),"",($G61-IFERROR(VLOOKUP($D61,'Base produits'!$B$5:$H$91,7,FALSE),0))*$F61*(1-IFERROR($H61,0)))</f>
        <v/>
      </c>
      <c r="K61" s="23" t="n"/>
      <c r="L61" s="29" t="n"/>
    </row>
    <row r="62" ht="23" customHeight="1">
      <c r="A62" s="30" t="n"/>
      <c r="B62" s="23" t="n"/>
      <c r="C62" s="29" t="n"/>
      <c r="D62" s="23" t="n"/>
      <c r="E62" s="31">
        <f>IF($D62="","",IFERROR(VLOOKUP($D62,'Base produits'!$B$5:$F$91,5,FALSE),""))</f>
        <v/>
      </c>
      <c r="F62" s="23" t="n"/>
      <c r="G62" s="21">
        <f>IF($D62="","",IFERROR(IF(VLOOKUP($D62,'Base produits'!$B$5:$J$91,9,FALSE)="","",VLOOKUP($D62,'Base produits'!$B$5:$J$91,9,FALSE)),""))</f>
        <v/>
      </c>
      <c r="H62" s="32" t="n"/>
      <c r="I62" s="21">
        <f>IF(OR($D62="",$F62="",$G62=""),"",$F62*$G62*(1-IFERROR($H62,0)))</f>
        <v/>
      </c>
      <c r="J62" s="21">
        <f>IF(OR($D62="",$F62="",$G62=""),"",($G62-IFERROR(VLOOKUP($D62,'Base produits'!$B$5:$H$91,7,FALSE),0))*$F62*(1-IFERROR($H62,0)))</f>
        <v/>
      </c>
      <c r="K62" s="23" t="n"/>
      <c r="L62" s="29" t="n"/>
    </row>
    <row r="63" ht="23" customHeight="1">
      <c r="A63" s="30" t="n"/>
      <c r="B63" s="23" t="n"/>
      <c r="C63" s="29" t="n"/>
      <c r="D63" s="23" t="n"/>
      <c r="E63" s="31">
        <f>IF($D63="","",IFERROR(VLOOKUP($D63,'Base produits'!$B$5:$F$91,5,FALSE),""))</f>
        <v/>
      </c>
      <c r="F63" s="23" t="n"/>
      <c r="G63" s="21">
        <f>IF($D63="","",IFERROR(IF(VLOOKUP($D63,'Base produits'!$B$5:$J$91,9,FALSE)="","",VLOOKUP($D63,'Base produits'!$B$5:$J$91,9,FALSE)),""))</f>
        <v/>
      </c>
      <c r="H63" s="32" t="n"/>
      <c r="I63" s="21">
        <f>IF(OR($D63="",$F63="",$G63=""),"",$F63*$G63*(1-IFERROR($H63,0)))</f>
        <v/>
      </c>
      <c r="J63" s="21">
        <f>IF(OR($D63="",$F63="",$G63=""),"",($G63-IFERROR(VLOOKUP($D63,'Base produits'!$B$5:$H$91,7,FALSE),0))*$F63*(1-IFERROR($H63,0)))</f>
        <v/>
      </c>
      <c r="K63" s="23" t="n"/>
      <c r="L63" s="29" t="n"/>
    </row>
    <row r="64" ht="23" customHeight="1">
      <c r="A64" s="30" t="n"/>
      <c r="B64" s="23" t="n"/>
      <c r="C64" s="29" t="n"/>
      <c r="D64" s="23" t="n"/>
      <c r="E64" s="31">
        <f>IF($D64="","",IFERROR(VLOOKUP($D64,'Base produits'!$B$5:$F$91,5,FALSE),""))</f>
        <v/>
      </c>
      <c r="F64" s="23" t="n"/>
      <c r="G64" s="21">
        <f>IF($D64="","",IFERROR(IF(VLOOKUP($D64,'Base produits'!$B$5:$J$91,9,FALSE)="","",VLOOKUP($D64,'Base produits'!$B$5:$J$91,9,FALSE)),""))</f>
        <v/>
      </c>
      <c r="H64" s="32" t="n"/>
      <c r="I64" s="21">
        <f>IF(OR($D64="",$F64="",$G64=""),"",$F64*$G64*(1-IFERROR($H64,0)))</f>
        <v/>
      </c>
      <c r="J64" s="21">
        <f>IF(OR($D64="",$F64="",$G64=""),"",($G64-IFERROR(VLOOKUP($D64,'Base produits'!$B$5:$H$91,7,FALSE),0))*$F64*(1-IFERROR($H64,0)))</f>
        <v/>
      </c>
      <c r="K64" s="23" t="n"/>
      <c r="L64" s="29" t="n"/>
    </row>
    <row r="65" ht="23" customHeight="1">
      <c r="A65" s="30" t="n"/>
      <c r="B65" s="23" t="n"/>
      <c r="C65" s="29" t="n"/>
      <c r="D65" s="23" t="n"/>
      <c r="E65" s="31">
        <f>IF($D65="","",IFERROR(VLOOKUP($D65,'Base produits'!$B$5:$F$91,5,FALSE),""))</f>
        <v/>
      </c>
      <c r="F65" s="23" t="n"/>
      <c r="G65" s="21">
        <f>IF($D65="","",IFERROR(IF(VLOOKUP($D65,'Base produits'!$B$5:$J$91,9,FALSE)="","",VLOOKUP($D65,'Base produits'!$B$5:$J$91,9,FALSE)),""))</f>
        <v/>
      </c>
      <c r="H65" s="32" t="n"/>
      <c r="I65" s="21">
        <f>IF(OR($D65="",$F65="",$G65=""),"",$F65*$G65*(1-IFERROR($H65,0)))</f>
        <v/>
      </c>
      <c r="J65" s="21">
        <f>IF(OR($D65="",$F65="",$G65=""),"",($G65-IFERROR(VLOOKUP($D65,'Base produits'!$B$5:$H$91,7,FALSE),0))*$F65*(1-IFERROR($H65,0)))</f>
        <v/>
      </c>
      <c r="K65" s="23" t="n"/>
      <c r="L65" s="29" t="n"/>
    </row>
    <row r="66" ht="23" customHeight="1">
      <c r="A66" s="30" t="n"/>
      <c r="B66" s="23" t="n"/>
      <c r="C66" s="29" t="n"/>
      <c r="D66" s="23" t="n"/>
      <c r="E66" s="31">
        <f>IF($D66="","",IFERROR(VLOOKUP($D66,'Base produits'!$B$5:$F$91,5,FALSE),""))</f>
        <v/>
      </c>
      <c r="F66" s="23" t="n"/>
      <c r="G66" s="21">
        <f>IF($D66="","",IFERROR(IF(VLOOKUP($D66,'Base produits'!$B$5:$J$91,9,FALSE)="","",VLOOKUP($D66,'Base produits'!$B$5:$J$91,9,FALSE)),""))</f>
        <v/>
      </c>
      <c r="H66" s="32" t="n"/>
      <c r="I66" s="21">
        <f>IF(OR($D66="",$F66="",$G66=""),"",$F66*$G66*(1-IFERROR($H66,0)))</f>
        <v/>
      </c>
      <c r="J66" s="21">
        <f>IF(OR($D66="",$F66="",$G66=""),"",($G66-IFERROR(VLOOKUP($D66,'Base produits'!$B$5:$H$91,7,FALSE),0))*$F66*(1-IFERROR($H66,0)))</f>
        <v/>
      </c>
      <c r="K66" s="23" t="n"/>
      <c r="L66" s="29" t="n"/>
    </row>
    <row r="67" ht="23" customHeight="1">
      <c r="A67" s="30" t="n"/>
      <c r="B67" s="23" t="n"/>
      <c r="C67" s="29" t="n"/>
      <c r="D67" s="23" t="n"/>
      <c r="E67" s="31">
        <f>IF($D67="","",IFERROR(VLOOKUP($D67,'Base produits'!$B$5:$F$91,5,FALSE),""))</f>
        <v/>
      </c>
      <c r="F67" s="23" t="n"/>
      <c r="G67" s="21">
        <f>IF($D67="","",IFERROR(IF(VLOOKUP($D67,'Base produits'!$B$5:$J$91,9,FALSE)="","",VLOOKUP($D67,'Base produits'!$B$5:$J$91,9,FALSE)),""))</f>
        <v/>
      </c>
      <c r="H67" s="32" t="n"/>
      <c r="I67" s="21">
        <f>IF(OR($D67="",$F67="",$G67=""),"",$F67*$G67*(1-IFERROR($H67,0)))</f>
        <v/>
      </c>
      <c r="J67" s="21">
        <f>IF(OR($D67="",$F67="",$G67=""),"",($G67-IFERROR(VLOOKUP($D67,'Base produits'!$B$5:$H$91,7,FALSE),0))*$F67*(1-IFERROR($H67,0)))</f>
        <v/>
      </c>
      <c r="K67" s="23" t="n"/>
      <c r="L67" s="29" t="n"/>
    </row>
    <row r="68" ht="23" customHeight="1">
      <c r="A68" s="30" t="n"/>
      <c r="B68" s="23" t="n"/>
      <c r="C68" s="29" t="n"/>
      <c r="D68" s="23" t="n"/>
      <c r="E68" s="31">
        <f>IF($D68="","",IFERROR(VLOOKUP($D68,'Base produits'!$B$5:$F$91,5,FALSE),""))</f>
        <v/>
      </c>
      <c r="F68" s="23" t="n"/>
      <c r="G68" s="21">
        <f>IF($D68="","",IFERROR(IF(VLOOKUP($D68,'Base produits'!$B$5:$J$91,9,FALSE)="","",VLOOKUP($D68,'Base produits'!$B$5:$J$91,9,FALSE)),""))</f>
        <v/>
      </c>
      <c r="H68" s="32" t="n"/>
      <c r="I68" s="21">
        <f>IF(OR($D68="",$F68="",$G68=""),"",$F68*$G68*(1-IFERROR($H68,0)))</f>
        <v/>
      </c>
      <c r="J68" s="21">
        <f>IF(OR($D68="",$F68="",$G68=""),"",($G68-IFERROR(VLOOKUP($D68,'Base produits'!$B$5:$H$91,7,FALSE),0))*$F68*(1-IFERROR($H68,0)))</f>
        <v/>
      </c>
      <c r="K68" s="23" t="n"/>
      <c r="L68" s="29" t="n"/>
    </row>
    <row r="69" ht="23" customHeight="1">
      <c r="A69" s="30" t="n"/>
      <c r="B69" s="23" t="n"/>
      <c r="C69" s="29" t="n"/>
      <c r="D69" s="23" t="n"/>
      <c r="E69" s="31">
        <f>IF($D69="","",IFERROR(VLOOKUP($D69,'Base produits'!$B$5:$F$91,5,FALSE),""))</f>
        <v/>
      </c>
      <c r="F69" s="23" t="n"/>
      <c r="G69" s="21">
        <f>IF($D69="","",IFERROR(IF(VLOOKUP($D69,'Base produits'!$B$5:$J$91,9,FALSE)="","",VLOOKUP($D69,'Base produits'!$B$5:$J$91,9,FALSE)),""))</f>
        <v/>
      </c>
      <c r="H69" s="32" t="n"/>
      <c r="I69" s="21">
        <f>IF(OR($D69="",$F69="",$G69=""),"",$F69*$G69*(1-IFERROR($H69,0)))</f>
        <v/>
      </c>
      <c r="J69" s="21">
        <f>IF(OR($D69="",$F69="",$G69=""),"",($G69-IFERROR(VLOOKUP($D69,'Base produits'!$B$5:$H$91,7,FALSE),0))*$F69*(1-IFERROR($H69,0)))</f>
        <v/>
      </c>
      <c r="K69" s="23" t="n"/>
      <c r="L69" s="29" t="n"/>
    </row>
    <row r="70" ht="23" customHeight="1">
      <c r="A70" s="30" t="n"/>
      <c r="B70" s="23" t="n"/>
      <c r="C70" s="29" t="n"/>
      <c r="D70" s="23" t="n"/>
      <c r="E70" s="31">
        <f>IF($D70="","",IFERROR(VLOOKUP($D70,'Base produits'!$B$5:$F$91,5,FALSE),""))</f>
        <v/>
      </c>
      <c r="F70" s="23" t="n"/>
      <c r="G70" s="21">
        <f>IF($D70="","",IFERROR(IF(VLOOKUP($D70,'Base produits'!$B$5:$J$91,9,FALSE)="","",VLOOKUP($D70,'Base produits'!$B$5:$J$91,9,FALSE)),""))</f>
        <v/>
      </c>
      <c r="H70" s="32" t="n"/>
      <c r="I70" s="21">
        <f>IF(OR($D70="",$F70="",$G70=""),"",$F70*$G70*(1-IFERROR($H70,0)))</f>
        <v/>
      </c>
      <c r="J70" s="21">
        <f>IF(OR($D70="",$F70="",$G70=""),"",($G70-IFERROR(VLOOKUP($D70,'Base produits'!$B$5:$H$91,7,FALSE),0))*$F70*(1-IFERROR($H70,0)))</f>
        <v/>
      </c>
      <c r="K70" s="23" t="n"/>
      <c r="L70" s="29" t="n"/>
    </row>
    <row r="71" ht="23" customHeight="1">
      <c r="A71" s="30" t="n"/>
      <c r="B71" s="23" t="n"/>
      <c r="C71" s="29" t="n"/>
      <c r="D71" s="23" t="n"/>
      <c r="E71" s="31">
        <f>IF($D71="","",IFERROR(VLOOKUP($D71,'Base produits'!$B$5:$F$91,5,FALSE),""))</f>
        <v/>
      </c>
      <c r="F71" s="23" t="n"/>
      <c r="G71" s="21">
        <f>IF($D71="","",IFERROR(IF(VLOOKUP($D71,'Base produits'!$B$5:$J$91,9,FALSE)="","",VLOOKUP($D71,'Base produits'!$B$5:$J$91,9,FALSE)),""))</f>
        <v/>
      </c>
      <c r="H71" s="32" t="n"/>
      <c r="I71" s="21">
        <f>IF(OR($D71="",$F71="",$G71=""),"",$F71*$G71*(1-IFERROR($H71,0)))</f>
        <v/>
      </c>
      <c r="J71" s="21">
        <f>IF(OR($D71="",$F71="",$G71=""),"",($G71-IFERROR(VLOOKUP($D71,'Base produits'!$B$5:$H$91,7,FALSE),0))*$F71*(1-IFERROR($H71,0)))</f>
        <v/>
      </c>
      <c r="K71" s="23" t="n"/>
      <c r="L71" s="29" t="n"/>
    </row>
    <row r="72" ht="23" customHeight="1">
      <c r="A72" s="30" t="n"/>
      <c r="B72" s="23" t="n"/>
      <c r="C72" s="29" t="n"/>
      <c r="D72" s="23" t="n"/>
      <c r="E72" s="31">
        <f>IF($D72="","",IFERROR(VLOOKUP($D72,'Base produits'!$B$5:$F$91,5,FALSE),""))</f>
        <v/>
      </c>
      <c r="F72" s="23" t="n"/>
      <c r="G72" s="21">
        <f>IF($D72="","",IFERROR(IF(VLOOKUP($D72,'Base produits'!$B$5:$J$91,9,FALSE)="","",VLOOKUP($D72,'Base produits'!$B$5:$J$91,9,FALSE)),""))</f>
        <v/>
      </c>
      <c r="H72" s="32" t="n"/>
      <c r="I72" s="21">
        <f>IF(OR($D72="",$F72="",$G72=""),"",$F72*$G72*(1-IFERROR($H72,0)))</f>
        <v/>
      </c>
      <c r="J72" s="21">
        <f>IF(OR($D72="",$F72="",$G72=""),"",($G72-IFERROR(VLOOKUP($D72,'Base produits'!$B$5:$H$91,7,FALSE),0))*$F72*(1-IFERROR($H72,0)))</f>
        <v/>
      </c>
      <c r="K72" s="23" t="n"/>
      <c r="L72" s="29" t="n"/>
    </row>
    <row r="73" ht="23" customHeight="1">
      <c r="A73" s="30" t="n"/>
      <c r="B73" s="23" t="n"/>
      <c r="C73" s="29" t="n"/>
      <c r="D73" s="23" t="n"/>
      <c r="E73" s="31">
        <f>IF($D73="","",IFERROR(VLOOKUP($D73,'Base produits'!$B$5:$F$91,5,FALSE),""))</f>
        <v/>
      </c>
      <c r="F73" s="23" t="n"/>
      <c r="G73" s="21">
        <f>IF($D73="","",IFERROR(IF(VLOOKUP($D73,'Base produits'!$B$5:$J$91,9,FALSE)="","",VLOOKUP($D73,'Base produits'!$B$5:$J$91,9,FALSE)),""))</f>
        <v/>
      </c>
      <c r="H73" s="32" t="n"/>
      <c r="I73" s="21">
        <f>IF(OR($D73="",$F73="",$G73=""),"",$F73*$G73*(1-IFERROR($H73,0)))</f>
        <v/>
      </c>
      <c r="J73" s="21">
        <f>IF(OR($D73="",$F73="",$G73=""),"",($G73-IFERROR(VLOOKUP($D73,'Base produits'!$B$5:$H$91,7,FALSE),0))*$F73*(1-IFERROR($H73,0)))</f>
        <v/>
      </c>
      <c r="K73" s="23" t="n"/>
      <c r="L73" s="29" t="n"/>
    </row>
    <row r="74" ht="23" customHeight="1">
      <c r="A74" s="30" t="n"/>
      <c r="B74" s="23" t="n"/>
      <c r="C74" s="29" t="n"/>
      <c r="D74" s="23" t="n"/>
      <c r="E74" s="31">
        <f>IF($D74="","",IFERROR(VLOOKUP($D74,'Base produits'!$B$5:$F$91,5,FALSE),""))</f>
        <v/>
      </c>
      <c r="F74" s="23" t="n"/>
      <c r="G74" s="21">
        <f>IF($D74="","",IFERROR(IF(VLOOKUP($D74,'Base produits'!$B$5:$J$91,9,FALSE)="","",VLOOKUP($D74,'Base produits'!$B$5:$J$91,9,FALSE)),""))</f>
        <v/>
      </c>
      <c r="H74" s="32" t="n"/>
      <c r="I74" s="21">
        <f>IF(OR($D74="",$F74="",$G74=""),"",$F74*$G74*(1-IFERROR($H74,0)))</f>
        <v/>
      </c>
      <c r="J74" s="21">
        <f>IF(OR($D74="",$F74="",$G74=""),"",($G74-IFERROR(VLOOKUP($D74,'Base produits'!$B$5:$H$91,7,FALSE),0))*$F74*(1-IFERROR($H74,0)))</f>
        <v/>
      </c>
      <c r="K74" s="23" t="n"/>
      <c r="L74" s="29" t="n"/>
    </row>
    <row r="75" ht="23" customHeight="1">
      <c r="A75" s="30" t="n"/>
      <c r="B75" s="23" t="n"/>
      <c r="C75" s="29" t="n"/>
      <c r="D75" s="23" t="n"/>
      <c r="E75" s="31">
        <f>IF($D75="","",IFERROR(VLOOKUP($D75,'Base produits'!$B$5:$F$91,5,FALSE),""))</f>
        <v/>
      </c>
      <c r="F75" s="23" t="n"/>
      <c r="G75" s="21">
        <f>IF($D75="","",IFERROR(IF(VLOOKUP($D75,'Base produits'!$B$5:$J$91,9,FALSE)="","",VLOOKUP($D75,'Base produits'!$B$5:$J$91,9,FALSE)),""))</f>
        <v/>
      </c>
      <c r="H75" s="32" t="n"/>
      <c r="I75" s="21">
        <f>IF(OR($D75="",$F75="",$G75=""),"",$F75*$G75*(1-IFERROR($H75,0)))</f>
        <v/>
      </c>
      <c r="J75" s="21">
        <f>IF(OR($D75="",$F75="",$G75=""),"",($G75-IFERROR(VLOOKUP($D75,'Base produits'!$B$5:$H$91,7,FALSE),0))*$F75*(1-IFERROR($H75,0)))</f>
        <v/>
      </c>
      <c r="K75" s="23" t="n"/>
      <c r="L75" s="29" t="n"/>
    </row>
    <row r="76" ht="23" customHeight="1">
      <c r="A76" s="30" t="n"/>
      <c r="B76" s="23" t="n"/>
      <c r="C76" s="29" t="n"/>
      <c r="D76" s="23" t="n"/>
      <c r="E76" s="31">
        <f>IF($D76="","",IFERROR(VLOOKUP($D76,'Base produits'!$B$5:$F$91,5,FALSE),""))</f>
        <v/>
      </c>
      <c r="F76" s="23" t="n"/>
      <c r="G76" s="21">
        <f>IF($D76="","",IFERROR(IF(VLOOKUP($D76,'Base produits'!$B$5:$J$91,9,FALSE)="","",VLOOKUP($D76,'Base produits'!$B$5:$J$91,9,FALSE)),""))</f>
        <v/>
      </c>
      <c r="H76" s="32" t="n"/>
      <c r="I76" s="21">
        <f>IF(OR($D76="",$F76="",$G76=""),"",$F76*$G76*(1-IFERROR($H76,0)))</f>
        <v/>
      </c>
      <c r="J76" s="21">
        <f>IF(OR($D76="",$F76="",$G76=""),"",($G76-IFERROR(VLOOKUP($D76,'Base produits'!$B$5:$H$91,7,FALSE),0))*$F76*(1-IFERROR($H76,0)))</f>
        <v/>
      </c>
      <c r="K76" s="23" t="n"/>
      <c r="L76" s="29" t="n"/>
    </row>
    <row r="77" ht="23" customHeight="1">
      <c r="A77" s="30" t="n"/>
      <c r="B77" s="23" t="n"/>
      <c r="C77" s="29" t="n"/>
      <c r="D77" s="23" t="n"/>
      <c r="E77" s="31">
        <f>IF($D77="","",IFERROR(VLOOKUP($D77,'Base produits'!$B$5:$F$91,5,FALSE),""))</f>
        <v/>
      </c>
      <c r="F77" s="23" t="n"/>
      <c r="G77" s="21">
        <f>IF($D77="","",IFERROR(IF(VLOOKUP($D77,'Base produits'!$B$5:$J$91,9,FALSE)="","",VLOOKUP($D77,'Base produits'!$B$5:$J$91,9,FALSE)),""))</f>
        <v/>
      </c>
      <c r="H77" s="32" t="n"/>
      <c r="I77" s="21">
        <f>IF(OR($D77="",$F77="",$G77=""),"",$F77*$G77*(1-IFERROR($H77,0)))</f>
        <v/>
      </c>
      <c r="J77" s="21">
        <f>IF(OR($D77="",$F77="",$G77=""),"",($G77-IFERROR(VLOOKUP($D77,'Base produits'!$B$5:$H$91,7,FALSE),0))*$F77*(1-IFERROR($H77,0)))</f>
        <v/>
      </c>
      <c r="K77" s="23" t="n"/>
      <c r="L77" s="29" t="n"/>
    </row>
    <row r="78" ht="23" customHeight="1">
      <c r="A78" s="30" t="n"/>
      <c r="B78" s="23" t="n"/>
      <c r="C78" s="29" t="n"/>
      <c r="D78" s="23" t="n"/>
      <c r="E78" s="31">
        <f>IF($D78="","",IFERROR(VLOOKUP($D78,'Base produits'!$B$5:$F$91,5,FALSE),""))</f>
        <v/>
      </c>
      <c r="F78" s="23" t="n"/>
      <c r="G78" s="21">
        <f>IF($D78="","",IFERROR(IF(VLOOKUP($D78,'Base produits'!$B$5:$J$91,9,FALSE)="","",VLOOKUP($D78,'Base produits'!$B$5:$J$91,9,FALSE)),""))</f>
        <v/>
      </c>
      <c r="H78" s="32" t="n"/>
      <c r="I78" s="21">
        <f>IF(OR($D78="",$F78="",$G78=""),"",$F78*$G78*(1-IFERROR($H78,0)))</f>
        <v/>
      </c>
      <c r="J78" s="21">
        <f>IF(OR($D78="",$F78="",$G78=""),"",($G78-IFERROR(VLOOKUP($D78,'Base produits'!$B$5:$H$91,7,FALSE),0))*$F78*(1-IFERROR($H78,0)))</f>
        <v/>
      </c>
      <c r="K78" s="23" t="n"/>
      <c r="L78" s="29" t="n"/>
    </row>
    <row r="79" ht="23" customHeight="1">
      <c r="A79" s="30" t="n"/>
      <c r="B79" s="23" t="n"/>
      <c r="C79" s="29" t="n"/>
      <c r="D79" s="23" t="n"/>
      <c r="E79" s="31">
        <f>IF($D79="","",IFERROR(VLOOKUP($D79,'Base produits'!$B$5:$F$91,5,FALSE),""))</f>
        <v/>
      </c>
      <c r="F79" s="23" t="n"/>
      <c r="G79" s="21">
        <f>IF($D79="","",IFERROR(IF(VLOOKUP($D79,'Base produits'!$B$5:$J$91,9,FALSE)="","",VLOOKUP($D79,'Base produits'!$B$5:$J$91,9,FALSE)),""))</f>
        <v/>
      </c>
      <c r="H79" s="32" t="n"/>
      <c r="I79" s="21">
        <f>IF(OR($D79="",$F79="",$G79=""),"",$F79*$G79*(1-IFERROR($H79,0)))</f>
        <v/>
      </c>
      <c r="J79" s="21">
        <f>IF(OR($D79="",$F79="",$G79=""),"",($G79-IFERROR(VLOOKUP($D79,'Base produits'!$B$5:$H$91,7,FALSE),0))*$F79*(1-IFERROR($H79,0)))</f>
        <v/>
      </c>
      <c r="K79" s="23" t="n"/>
      <c r="L79" s="29" t="n"/>
    </row>
    <row r="80" ht="23" customHeight="1">
      <c r="A80" s="30" t="n"/>
      <c r="B80" s="23" t="n"/>
      <c r="C80" s="29" t="n"/>
      <c r="D80" s="23" t="n"/>
      <c r="E80" s="31">
        <f>IF($D80="","",IFERROR(VLOOKUP($D80,'Base produits'!$B$5:$F$91,5,FALSE),""))</f>
        <v/>
      </c>
      <c r="F80" s="23" t="n"/>
      <c r="G80" s="21">
        <f>IF($D80="","",IFERROR(IF(VLOOKUP($D80,'Base produits'!$B$5:$J$91,9,FALSE)="","",VLOOKUP($D80,'Base produits'!$B$5:$J$91,9,FALSE)),""))</f>
        <v/>
      </c>
      <c r="H80" s="32" t="n"/>
      <c r="I80" s="21">
        <f>IF(OR($D80="",$F80="",$G80=""),"",$F80*$G80*(1-IFERROR($H80,0)))</f>
        <v/>
      </c>
      <c r="J80" s="21">
        <f>IF(OR($D80="",$F80="",$G80=""),"",($G80-IFERROR(VLOOKUP($D80,'Base produits'!$B$5:$H$91,7,FALSE),0))*$F80*(1-IFERROR($H80,0)))</f>
        <v/>
      </c>
      <c r="K80" s="23" t="n"/>
      <c r="L80" s="29" t="n"/>
    </row>
    <row r="81" ht="23" customHeight="1">
      <c r="A81" s="30" t="n"/>
      <c r="B81" s="23" t="n"/>
      <c r="C81" s="29" t="n"/>
      <c r="D81" s="23" t="n"/>
      <c r="E81" s="31">
        <f>IF($D81="","",IFERROR(VLOOKUP($D81,'Base produits'!$B$5:$F$91,5,FALSE),""))</f>
        <v/>
      </c>
      <c r="F81" s="23" t="n"/>
      <c r="G81" s="21">
        <f>IF($D81="","",IFERROR(IF(VLOOKUP($D81,'Base produits'!$B$5:$J$91,9,FALSE)="","",VLOOKUP($D81,'Base produits'!$B$5:$J$91,9,FALSE)),""))</f>
        <v/>
      </c>
      <c r="H81" s="32" t="n"/>
      <c r="I81" s="21">
        <f>IF(OR($D81="",$F81="",$G81=""),"",$F81*$G81*(1-IFERROR($H81,0)))</f>
        <v/>
      </c>
      <c r="J81" s="21">
        <f>IF(OR($D81="",$F81="",$G81=""),"",($G81-IFERROR(VLOOKUP($D81,'Base produits'!$B$5:$H$91,7,FALSE),0))*$F81*(1-IFERROR($H81,0)))</f>
        <v/>
      </c>
      <c r="K81" s="23" t="n"/>
      <c r="L81" s="29" t="n"/>
    </row>
    <row r="82" ht="23" customHeight="1">
      <c r="A82" s="30" t="n"/>
      <c r="B82" s="23" t="n"/>
      <c r="C82" s="29" t="n"/>
      <c r="D82" s="23" t="n"/>
      <c r="E82" s="31">
        <f>IF($D82="","",IFERROR(VLOOKUP($D82,'Base produits'!$B$5:$F$91,5,FALSE),""))</f>
        <v/>
      </c>
      <c r="F82" s="23" t="n"/>
      <c r="G82" s="21">
        <f>IF($D82="","",IFERROR(IF(VLOOKUP($D82,'Base produits'!$B$5:$J$91,9,FALSE)="","",VLOOKUP($D82,'Base produits'!$B$5:$J$91,9,FALSE)),""))</f>
        <v/>
      </c>
      <c r="H82" s="32" t="n"/>
      <c r="I82" s="21">
        <f>IF(OR($D82="",$F82="",$G82=""),"",$F82*$G82*(1-IFERROR($H82,0)))</f>
        <v/>
      </c>
      <c r="J82" s="21">
        <f>IF(OR($D82="",$F82="",$G82=""),"",($G82-IFERROR(VLOOKUP($D82,'Base produits'!$B$5:$H$91,7,FALSE),0))*$F82*(1-IFERROR($H82,0)))</f>
        <v/>
      </c>
      <c r="K82" s="23" t="n"/>
      <c r="L82" s="29" t="n"/>
    </row>
    <row r="83" ht="23" customHeight="1">
      <c r="A83" s="30" t="n"/>
      <c r="B83" s="23" t="n"/>
      <c r="C83" s="29" t="n"/>
      <c r="D83" s="23" t="n"/>
      <c r="E83" s="31">
        <f>IF($D83="","",IFERROR(VLOOKUP($D83,'Base produits'!$B$5:$F$91,5,FALSE),""))</f>
        <v/>
      </c>
      <c r="F83" s="23" t="n"/>
      <c r="G83" s="21">
        <f>IF($D83="","",IFERROR(IF(VLOOKUP($D83,'Base produits'!$B$5:$J$91,9,FALSE)="","",VLOOKUP($D83,'Base produits'!$B$5:$J$91,9,FALSE)),""))</f>
        <v/>
      </c>
      <c r="H83" s="32" t="n"/>
      <c r="I83" s="21">
        <f>IF(OR($D83="",$F83="",$G83=""),"",$F83*$G83*(1-IFERROR($H83,0)))</f>
        <v/>
      </c>
      <c r="J83" s="21">
        <f>IF(OR($D83="",$F83="",$G83=""),"",($G83-IFERROR(VLOOKUP($D83,'Base produits'!$B$5:$H$91,7,FALSE),0))*$F83*(1-IFERROR($H83,0)))</f>
        <v/>
      </c>
      <c r="K83" s="23" t="n"/>
      <c r="L83" s="29" t="n"/>
    </row>
    <row r="84" ht="23" customHeight="1">
      <c r="A84" s="30" t="n"/>
      <c r="B84" s="23" t="n"/>
      <c r="C84" s="29" t="n"/>
      <c r="D84" s="23" t="n"/>
      <c r="E84" s="31">
        <f>IF($D84="","",IFERROR(VLOOKUP($D84,'Base produits'!$B$5:$F$91,5,FALSE),""))</f>
        <v/>
      </c>
      <c r="F84" s="23" t="n"/>
      <c r="G84" s="21">
        <f>IF($D84="","",IFERROR(IF(VLOOKUP($D84,'Base produits'!$B$5:$J$91,9,FALSE)="","",VLOOKUP($D84,'Base produits'!$B$5:$J$91,9,FALSE)),""))</f>
        <v/>
      </c>
      <c r="H84" s="32" t="n"/>
      <c r="I84" s="21">
        <f>IF(OR($D84="",$F84="",$G84=""),"",$F84*$G84*(1-IFERROR($H84,0)))</f>
        <v/>
      </c>
      <c r="J84" s="21">
        <f>IF(OR($D84="",$F84="",$G84=""),"",($G84-IFERROR(VLOOKUP($D84,'Base produits'!$B$5:$H$91,7,FALSE),0))*$F84*(1-IFERROR($H84,0)))</f>
        <v/>
      </c>
      <c r="K84" s="23" t="n"/>
      <c r="L84" s="29" t="n"/>
    </row>
    <row r="85" ht="23" customHeight="1">
      <c r="A85" s="30" t="n"/>
      <c r="B85" s="23" t="n"/>
      <c r="C85" s="29" t="n"/>
      <c r="D85" s="23" t="n"/>
      <c r="E85" s="31">
        <f>IF($D85="","",IFERROR(VLOOKUP($D85,'Base produits'!$B$5:$F$91,5,FALSE),""))</f>
        <v/>
      </c>
      <c r="F85" s="23" t="n"/>
      <c r="G85" s="21">
        <f>IF($D85="","",IFERROR(IF(VLOOKUP($D85,'Base produits'!$B$5:$J$91,9,FALSE)="","",VLOOKUP($D85,'Base produits'!$B$5:$J$91,9,FALSE)),""))</f>
        <v/>
      </c>
      <c r="H85" s="32" t="n"/>
      <c r="I85" s="21">
        <f>IF(OR($D85="",$F85="",$G85=""),"",$F85*$G85*(1-IFERROR($H85,0)))</f>
        <v/>
      </c>
      <c r="J85" s="21">
        <f>IF(OR($D85="",$F85="",$G85=""),"",($G85-IFERROR(VLOOKUP($D85,'Base produits'!$B$5:$H$91,7,FALSE),0))*$F85*(1-IFERROR($H85,0)))</f>
        <v/>
      </c>
      <c r="K85" s="23" t="n"/>
      <c r="L85" s="29" t="n"/>
    </row>
    <row r="86" ht="23" customHeight="1">
      <c r="A86" s="30" t="n"/>
      <c r="B86" s="23" t="n"/>
      <c r="C86" s="29" t="n"/>
      <c r="D86" s="23" t="n"/>
      <c r="E86" s="31">
        <f>IF($D86="","",IFERROR(VLOOKUP($D86,'Base produits'!$B$5:$F$91,5,FALSE),""))</f>
        <v/>
      </c>
      <c r="F86" s="23" t="n"/>
      <c r="G86" s="21">
        <f>IF($D86="","",IFERROR(IF(VLOOKUP($D86,'Base produits'!$B$5:$J$91,9,FALSE)="","",VLOOKUP($D86,'Base produits'!$B$5:$J$91,9,FALSE)),""))</f>
        <v/>
      </c>
      <c r="H86" s="32" t="n"/>
      <c r="I86" s="21">
        <f>IF(OR($D86="",$F86="",$G86=""),"",$F86*$G86*(1-IFERROR($H86,0)))</f>
        <v/>
      </c>
      <c r="J86" s="21">
        <f>IF(OR($D86="",$F86="",$G86=""),"",($G86-IFERROR(VLOOKUP($D86,'Base produits'!$B$5:$H$91,7,FALSE),0))*$F86*(1-IFERROR($H86,0)))</f>
        <v/>
      </c>
      <c r="K86" s="23" t="n"/>
      <c r="L86" s="29" t="n"/>
    </row>
    <row r="87" ht="23" customHeight="1">
      <c r="A87" s="30" t="n"/>
      <c r="B87" s="23" t="n"/>
      <c r="C87" s="29" t="n"/>
      <c r="D87" s="23" t="n"/>
      <c r="E87" s="31">
        <f>IF($D87="","",IFERROR(VLOOKUP($D87,'Base produits'!$B$5:$F$91,5,FALSE),""))</f>
        <v/>
      </c>
      <c r="F87" s="23" t="n"/>
      <c r="G87" s="21">
        <f>IF($D87="","",IFERROR(IF(VLOOKUP($D87,'Base produits'!$B$5:$J$91,9,FALSE)="","",VLOOKUP($D87,'Base produits'!$B$5:$J$91,9,FALSE)),""))</f>
        <v/>
      </c>
      <c r="H87" s="32" t="n"/>
      <c r="I87" s="21">
        <f>IF(OR($D87="",$F87="",$G87=""),"",$F87*$G87*(1-IFERROR($H87,0)))</f>
        <v/>
      </c>
      <c r="J87" s="21">
        <f>IF(OR($D87="",$F87="",$G87=""),"",($G87-IFERROR(VLOOKUP($D87,'Base produits'!$B$5:$H$91,7,FALSE),0))*$F87*(1-IFERROR($H87,0)))</f>
        <v/>
      </c>
      <c r="K87" s="23" t="n"/>
      <c r="L87" s="29" t="n"/>
    </row>
    <row r="88" ht="23" customHeight="1">
      <c r="A88" s="30" t="n"/>
      <c r="B88" s="23" t="n"/>
      <c r="C88" s="29" t="n"/>
      <c r="D88" s="23" t="n"/>
      <c r="E88" s="31">
        <f>IF($D88="","",IFERROR(VLOOKUP($D88,'Base produits'!$B$5:$F$91,5,FALSE),""))</f>
        <v/>
      </c>
      <c r="F88" s="23" t="n"/>
      <c r="G88" s="21">
        <f>IF($D88="","",IFERROR(IF(VLOOKUP($D88,'Base produits'!$B$5:$J$91,9,FALSE)="","",VLOOKUP($D88,'Base produits'!$B$5:$J$91,9,FALSE)),""))</f>
        <v/>
      </c>
      <c r="H88" s="32" t="n"/>
      <c r="I88" s="21">
        <f>IF(OR($D88="",$F88="",$G88=""),"",$F88*$G88*(1-IFERROR($H88,0)))</f>
        <v/>
      </c>
      <c r="J88" s="21">
        <f>IF(OR($D88="",$F88="",$G88=""),"",($G88-IFERROR(VLOOKUP($D88,'Base produits'!$B$5:$H$91,7,FALSE),0))*$F88*(1-IFERROR($H88,0)))</f>
        <v/>
      </c>
      <c r="K88" s="23" t="n"/>
      <c r="L88" s="29" t="n"/>
    </row>
    <row r="89" ht="23" customHeight="1">
      <c r="A89" s="30" t="n"/>
      <c r="B89" s="23" t="n"/>
      <c r="C89" s="29" t="n"/>
      <c r="D89" s="23" t="n"/>
      <c r="E89" s="31">
        <f>IF($D89="","",IFERROR(VLOOKUP($D89,'Base produits'!$B$5:$F$91,5,FALSE),""))</f>
        <v/>
      </c>
      <c r="F89" s="23" t="n"/>
      <c r="G89" s="21">
        <f>IF($D89="","",IFERROR(IF(VLOOKUP($D89,'Base produits'!$B$5:$J$91,9,FALSE)="","",VLOOKUP($D89,'Base produits'!$B$5:$J$91,9,FALSE)),""))</f>
        <v/>
      </c>
      <c r="H89" s="32" t="n"/>
      <c r="I89" s="21">
        <f>IF(OR($D89="",$F89="",$G89=""),"",$F89*$G89*(1-IFERROR($H89,0)))</f>
        <v/>
      </c>
      <c r="J89" s="21">
        <f>IF(OR($D89="",$F89="",$G89=""),"",($G89-IFERROR(VLOOKUP($D89,'Base produits'!$B$5:$H$91,7,FALSE),0))*$F89*(1-IFERROR($H89,0)))</f>
        <v/>
      </c>
      <c r="K89" s="23" t="n"/>
      <c r="L89" s="29" t="n"/>
    </row>
    <row r="90" ht="23" customHeight="1">
      <c r="A90" s="30" t="n"/>
      <c r="B90" s="23" t="n"/>
      <c r="C90" s="29" t="n"/>
      <c r="D90" s="23" t="n"/>
      <c r="E90" s="31">
        <f>IF($D90="","",IFERROR(VLOOKUP($D90,'Base produits'!$B$5:$F$91,5,FALSE),""))</f>
        <v/>
      </c>
      <c r="F90" s="23" t="n"/>
      <c r="G90" s="21">
        <f>IF($D90="","",IFERROR(IF(VLOOKUP($D90,'Base produits'!$B$5:$J$91,9,FALSE)="","",VLOOKUP($D90,'Base produits'!$B$5:$J$91,9,FALSE)),""))</f>
        <v/>
      </c>
      <c r="H90" s="32" t="n"/>
      <c r="I90" s="21">
        <f>IF(OR($D90="",$F90="",$G90=""),"",$F90*$G90*(1-IFERROR($H90,0)))</f>
        <v/>
      </c>
      <c r="J90" s="21">
        <f>IF(OR($D90="",$F90="",$G90=""),"",($G90-IFERROR(VLOOKUP($D90,'Base produits'!$B$5:$H$91,7,FALSE),0))*$F90*(1-IFERROR($H90,0)))</f>
        <v/>
      </c>
      <c r="K90" s="23" t="n"/>
      <c r="L90" s="29" t="n"/>
    </row>
    <row r="91" ht="23" customHeight="1">
      <c r="A91" s="30" t="n"/>
      <c r="B91" s="23" t="n"/>
      <c r="C91" s="29" t="n"/>
      <c r="D91" s="23" t="n"/>
      <c r="E91" s="31">
        <f>IF($D91="","",IFERROR(VLOOKUP($D91,'Base produits'!$B$5:$F$91,5,FALSE),""))</f>
        <v/>
      </c>
      <c r="F91" s="23" t="n"/>
      <c r="G91" s="21">
        <f>IF($D91="","",IFERROR(IF(VLOOKUP($D91,'Base produits'!$B$5:$J$91,9,FALSE)="","",VLOOKUP($D91,'Base produits'!$B$5:$J$91,9,FALSE)),""))</f>
        <v/>
      </c>
      <c r="H91" s="32" t="n"/>
      <c r="I91" s="21">
        <f>IF(OR($D91="",$F91="",$G91=""),"",$F91*$G91*(1-IFERROR($H91,0)))</f>
        <v/>
      </c>
      <c r="J91" s="21">
        <f>IF(OR($D91="",$F91="",$G91=""),"",($G91-IFERROR(VLOOKUP($D91,'Base produits'!$B$5:$H$91,7,FALSE),0))*$F91*(1-IFERROR($H91,0)))</f>
        <v/>
      </c>
      <c r="K91" s="23" t="n"/>
      <c r="L91" s="29" t="n"/>
    </row>
    <row r="92" ht="23" customHeight="1">
      <c r="A92" s="30" t="n"/>
      <c r="B92" s="23" t="n"/>
      <c r="C92" s="29" t="n"/>
      <c r="D92" s="23" t="n"/>
      <c r="E92" s="31">
        <f>IF($D92="","",IFERROR(VLOOKUP($D92,'Base produits'!$B$5:$F$91,5,FALSE),""))</f>
        <v/>
      </c>
      <c r="F92" s="23" t="n"/>
      <c r="G92" s="21">
        <f>IF($D92="","",IFERROR(IF(VLOOKUP($D92,'Base produits'!$B$5:$J$91,9,FALSE)="","",VLOOKUP($D92,'Base produits'!$B$5:$J$91,9,FALSE)),""))</f>
        <v/>
      </c>
      <c r="H92" s="32" t="n"/>
      <c r="I92" s="21">
        <f>IF(OR($D92="",$F92="",$G92=""),"",$F92*$G92*(1-IFERROR($H92,0)))</f>
        <v/>
      </c>
      <c r="J92" s="21">
        <f>IF(OR($D92="",$F92="",$G92=""),"",($G92-IFERROR(VLOOKUP($D92,'Base produits'!$B$5:$H$91,7,FALSE),0))*$F92*(1-IFERROR($H92,0)))</f>
        <v/>
      </c>
      <c r="K92" s="23" t="n"/>
      <c r="L92" s="29" t="n"/>
    </row>
    <row r="93" ht="23" customHeight="1">
      <c r="A93" s="30" t="n"/>
      <c r="B93" s="23" t="n"/>
      <c r="C93" s="29" t="n"/>
      <c r="D93" s="23" t="n"/>
      <c r="E93" s="31">
        <f>IF($D93="","",IFERROR(VLOOKUP($D93,'Base produits'!$B$5:$F$91,5,FALSE),""))</f>
        <v/>
      </c>
      <c r="F93" s="23" t="n"/>
      <c r="G93" s="21">
        <f>IF($D93="","",IFERROR(IF(VLOOKUP($D93,'Base produits'!$B$5:$J$91,9,FALSE)="","",VLOOKUP($D93,'Base produits'!$B$5:$J$91,9,FALSE)),""))</f>
        <v/>
      </c>
      <c r="H93" s="32" t="n"/>
      <c r="I93" s="21">
        <f>IF(OR($D93="",$F93="",$G93=""),"",$F93*$G93*(1-IFERROR($H93,0)))</f>
        <v/>
      </c>
      <c r="J93" s="21">
        <f>IF(OR($D93="",$F93="",$G93=""),"",($G93-IFERROR(VLOOKUP($D93,'Base produits'!$B$5:$H$91,7,FALSE),0))*$F93*(1-IFERROR($H93,0)))</f>
        <v/>
      </c>
      <c r="K93" s="23" t="n"/>
      <c r="L93" s="29" t="n"/>
    </row>
    <row r="94" ht="23" customHeight="1">
      <c r="A94" s="30" t="n"/>
      <c r="B94" s="23" t="n"/>
      <c r="C94" s="29" t="n"/>
      <c r="D94" s="23" t="n"/>
      <c r="E94" s="31">
        <f>IF($D94="","",IFERROR(VLOOKUP($D94,'Base produits'!$B$5:$F$91,5,FALSE),""))</f>
        <v/>
      </c>
      <c r="F94" s="23" t="n"/>
      <c r="G94" s="21">
        <f>IF($D94="","",IFERROR(IF(VLOOKUP($D94,'Base produits'!$B$5:$J$91,9,FALSE)="","",VLOOKUP($D94,'Base produits'!$B$5:$J$91,9,FALSE)),""))</f>
        <v/>
      </c>
      <c r="H94" s="32" t="n"/>
      <c r="I94" s="21">
        <f>IF(OR($D94="",$F94="",$G94=""),"",$F94*$G94*(1-IFERROR($H94,0)))</f>
        <v/>
      </c>
      <c r="J94" s="21">
        <f>IF(OR($D94="",$F94="",$G94=""),"",($G94-IFERROR(VLOOKUP($D94,'Base produits'!$B$5:$H$91,7,FALSE),0))*$F94*(1-IFERROR($H94,0)))</f>
        <v/>
      </c>
      <c r="K94" s="23" t="n"/>
      <c r="L94" s="29" t="n"/>
    </row>
    <row r="95" ht="23" customHeight="1">
      <c r="A95" s="30" t="n"/>
      <c r="B95" s="23" t="n"/>
      <c r="C95" s="29" t="n"/>
      <c r="D95" s="23" t="n"/>
      <c r="E95" s="31">
        <f>IF($D95="","",IFERROR(VLOOKUP($D95,'Base produits'!$B$5:$F$91,5,FALSE),""))</f>
        <v/>
      </c>
      <c r="F95" s="23" t="n"/>
      <c r="G95" s="21">
        <f>IF($D95="","",IFERROR(IF(VLOOKUP($D95,'Base produits'!$B$5:$J$91,9,FALSE)="","",VLOOKUP($D95,'Base produits'!$B$5:$J$91,9,FALSE)),""))</f>
        <v/>
      </c>
      <c r="H95" s="32" t="n"/>
      <c r="I95" s="21">
        <f>IF(OR($D95="",$F95="",$G95=""),"",$F95*$G95*(1-IFERROR($H95,0)))</f>
        <v/>
      </c>
      <c r="J95" s="21">
        <f>IF(OR($D95="",$F95="",$G95=""),"",($G95-IFERROR(VLOOKUP($D95,'Base produits'!$B$5:$H$91,7,FALSE),0))*$F95*(1-IFERROR($H95,0)))</f>
        <v/>
      </c>
      <c r="K95" s="23" t="n"/>
      <c r="L95" s="29" t="n"/>
    </row>
    <row r="96" ht="23" customHeight="1">
      <c r="A96" s="30" t="n"/>
      <c r="B96" s="23" t="n"/>
      <c r="C96" s="29" t="n"/>
      <c r="D96" s="23" t="n"/>
      <c r="E96" s="31">
        <f>IF($D96="","",IFERROR(VLOOKUP($D96,'Base produits'!$B$5:$F$91,5,FALSE),""))</f>
        <v/>
      </c>
      <c r="F96" s="23" t="n"/>
      <c r="G96" s="21">
        <f>IF($D96="","",IFERROR(IF(VLOOKUP($D96,'Base produits'!$B$5:$J$91,9,FALSE)="","",VLOOKUP($D96,'Base produits'!$B$5:$J$91,9,FALSE)),""))</f>
        <v/>
      </c>
      <c r="H96" s="32" t="n"/>
      <c r="I96" s="21">
        <f>IF(OR($D96="",$F96="",$G96=""),"",$F96*$G96*(1-IFERROR($H96,0)))</f>
        <v/>
      </c>
      <c r="J96" s="21">
        <f>IF(OR($D96="",$F96="",$G96=""),"",($G96-IFERROR(VLOOKUP($D96,'Base produits'!$B$5:$H$91,7,FALSE),0))*$F96*(1-IFERROR($H96,0)))</f>
        <v/>
      </c>
      <c r="K96" s="23" t="n"/>
      <c r="L96" s="29" t="n"/>
    </row>
    <row r="97" ht="23" customHeight="1">
      <c r="A97" s="30" t="n"/>
      <c r="B97" s="23" t="n"/>
      <c r="C97" s="29" t="n"/>
      <c r="D97" s="23" t="n"/>
      <c r="E97" s="31">
        <f>IF($D97="","",IFERROR(VLOOKUP($D97,'Base produits'!$B$5:$F$91,5,FALSE),""))</f>
        <v/>
      </c>
      <c r="F97" s="23" t="n"/>
      <c r="G97" s="21">
        <f>IF($D97="","",IFERROR(IF(VLOOKUP($D97,'Base produits'!$B$5:$J$91,9,FALSE)="","",VLOOKUP($D97,'Base produits'!$B$5:$J$91,9,FALSE)),""))</f>
        <v/>
      </c>
      <c r="H97" s="32" t="n"/>
      <c r="I97" s="21">
        <f>IF(OR($D97="",$F97="",$G97=""),"",$F97*$G97*(1-IFERROR($H97,0)))</f>
        <v/>
      </c>
      <c r="J97" s="21">
        <f>IF(OR($D97="",$F97="",$G97=""),"",($G97-IFERROR(VLOOKUP($D97,'Base produits'!$B$5:$H$91,7,FALSE),0))*$F97*(1-IFERROR($H97,0)))</f>
        <v/>
      </c>
      <c r="K97" s="23" t="n"/>
      <c r="L97" s="29" t="n"/>
    </row>
    <row r="98" ht="23" customHeight="1">
      <c r="A98" s="30" t="n"/>
      <c r="B98" s="23" t="n"/>
      <c r="C98" s="29" t="n"/>
      <c r="D98" s="23" t="n"/>
      <c r="E98" s="31">
        <f>IF($D98="","",IFERROR(VLOOKUP($D98,'Base produits'!$B$5:$F$91,5,FALSE),""))</f>
        <v/>
      </c>
      <c r="F98" s="23" t="n"/>
      <c r="G98" s="21">
        <f>IF($D98="","",IFERROR(IF(VLOOKUP($D98,'Base produits'!$B$5:$J$91,9,FALSE)="","",VLOOKUP($D98,'Base produits'!$B$5:$J$91,9,FALSE)),""))</f>
        <v/>
      </c>
      <c r="H98" s="32" t="n"/>
      <c r="I98" s="21">
        <f>IF(OR($D98="",$F98="",$G98=""),"",$F98*$G98*(1-IFERROR($H98,0)))</f>
        <v/>
      </c>
      <c r="J98" s="21">
        <f>IF(OR($D98="",$F98="",$G98=""),"",($G98-IFERROR(VLOOKUP($D98,'Base produits'!$B$5:$H$91,7,FALSE),0))*$F98*(1-IFERROR($H98,0)))</f>
        <v/>
      </c>
      <c r="K98" s="23" t="n"/>
      <c r="L98" s="29" t="n"/>
    </row>
    <row r="99" ht="23" customHeight="1">
      <c r="A99" s="30" t="n"/>
      <c r="B99" s="23" t="n"/>
      <c r="C99" s="29" t="n"/>
      <c r="D99" s="23" t="n"/>
      <c r="E99" s="31">
        <f>IF($D99="","",IFERROR(VLOOKUP($D99,'Base produits'!$B$5:$F$91,5,FALSE),""))</f>
        <v/>
      </c>
      <c r="F99" s="23" t="n"/>
      <c r="G99" s="21">
        <f>IF($D99="","",IFERROR(IF(VLOOKUP($D99,'Base produits'!$B$5:$J$91,9,FALSE)="","",VLOOKUP($D99,'Base produits'!$B$5:$J$91,9,FALSE)),""))</f>
        <v/>
      </c>
      <c r="H99" s="32" t="n"/>
      <c r="I99" s="21">
        <f>IF(OR($D99="",$F99="",$G99=""),"",$F99*$G99*(1-IFERROR($H99,0)))</f>
        <v/>
      </c>
      <c r="J99" s="21">
        <f>IF(OR($D99="",$F99="",$G99=""),"",($G99-IFERROR(VLOOKUP($D99,'Base produits'!$B$5:$H$91,7,FALSE),0))*$F99*(1-IFERROR($H99,0)))</f>
        <v/>
      </c>
      <c r="K99" s="23" t="n"/>
      <c r="L99" s="29" t="n"/>
    </row>
    <row r="100" ht="23" customHeight="1">
      <c r="A100" s="30" t="n"/>
      <c r="B100" s="23" t="n"/>
      <c r="C100" s="29" t="n"/>
      <c r="D100" s="23" t="n"/>
      <c r="E100" s="31">
        <f>IF($D100="","",IFERROR(VLOOKUP($D100,'Base produits'!$B$5:$F$91,5,FALSE),""))</f>
        <v/>
      </c>
      <c r="F100" s="23" t="n"/>
      <c r="G100" s="21">
        <f>IF($D100="","",IFERROR(IF(VLOOKUP($D100,'Base produits'!$B$5:$J$91,9,FALSE)="","",VLOOKUP($D100,'Base produits'!$B$5:$J$91,9,FALSE)),""))</f>
        <v/>
      </c>
      <c r="H100" s="32" t="n"/>
      <c r="I100" s="21">
        <f>IF(OR($D100="",$F100="",$G100=""),"",$F100*$G100*(1-IFERROR($H100,0)))</f>
        <v/>
      </c>
      <c r="J100" s="21">
        <f>IF(OR($D100="",$F100="",$G100=""),"",($G100-IFERROR(VLOOKUP($D100,'Base produits'!$B$5:$H$91,7,FALSE),0))*$F100*(1-IFERROR($H100,0)))</f>
        <v/>
      </c>
      <c r="K100" s="23" t="n"/>
      <c r="L100" s="29" t="n"/>
    </row>
    <row r="101" ht="23" customHeight="1">
      <c r="A101" s="30" t="n"/>
      <c r="B101" s="23" t="n"/>
      <c r="C101" s="29" t="n"/>
      <c r="D101" s="23" t="n"/>
      <c r="E101" s="31">
        <f>IF($D101="","",IFERROR(VLOOKUP($D101,'Base produits'!$B$5:$F$91,5,FALSE),""))</f>
        <v/>
      </c>
      <c r="F101" s="23" t="n"/>
      <c r="G101" s="21">
        <f>IF($D101="","",IFERROR(IF(VLOOKUP($D101,'Base produits'!$B$5:$J$91,9,FALSE)="","",VLOOKUP($D101,'Base produits'!$B$5:$J$91,9,FALSE)),""))</f>
        <v/>
      </c>
      <c r="H101" s="32" t="n"/>
      <c r="I101" s="21">
        <f>IF(OR($D101="",$F101="",$G101=""),"",$F101*$G101*(1-IFERROR($H101,0)))</f>
        <v/>
      </c>
      <c r="J101" s="21">
        <f>IF(OR($D101="",$F101="",$G101=""),"",($G101-IFERROR(VLOOKUP($D101,'Base produits'!$B$5:$H$91,7,FALSE),0))*$F101*(1-IFERROR($H101,0)))</f>
        <v/>
      </c>
      <c r="K101" s="23" t="n"/>
      <c r="L101" s="29" t="n"/>
    </row>
    <row r="102" ht="23" customHeight="1">
      <c r="A102" s="30" t="n"/>
      <c r="B102" s="23" t="n"/>
      <c r="C102" s="29" t="n"/>
      <c r="D102" s="23" t="n"/>
      <c r="E102" s="31">
        <f>IF($D102="","",IFERROR(VLOOKUP($D102,'Base produits'!$B$5:$F$91,5,FALSE),""))</f>
        <v/>
      </c>
      <c r="F102" s="23" t="n"/>
      <c r="G102" s="21">
        <f>IF($D102="","",IFERROR(IF(VLOOKUP($D102,'Base produits'!$B$5:$J$91,9,FALSE)="","",VLOOKUP($D102,'Base produits'!$B$5:$J$91,9,FALSE)),""))</f>
        <v/>
      </c>
      <c r="H102" s="32" t="n"/>
      <c r="I102" s="21">
        <f>IF(OR($D102="",$F102="",$G102=""),"",$F102*$G102*(1-IFERROR($H102,0)))</f>
        <v/>
      </c>
      <c r="J102" s="21">
        <f>IF(OR($D102="",$F102="",$G102=""),"",($G102-IFERROR(VLOOKUP($D102,'Base produits'!$B$5:$H$91,7,FALSE),0))*$F102*(1-IFERROR($H102,0)))</f>
        <v/>
      </c>
      <c r="K102" s="23" t="n"/>
      <c r="L102" s="29" t="n"/>
    </row>
    <row r="103" ht="23" customHeight="1">
      <c r="A103" s="30" t="n"/>
      <c r="B103" s="23" t="n"/>
      <c r="C103" s="29" t="n"/>
      <c r="D103" s="23" t="n"/>
      <c r="E103" s="31">
        <f>IF($D103="","",IFERROR(VLOOKUP($D103,'Base produits'!$B$5:$F$91,5,FALSE),""))</f>
        <v/>
      </c>
      <c r="F103" s="23" t="n"/>
      <c r="G103" s="21">
        <f>IF($D103="","",IFERROR(IF(VLOOKUP($D103,'Base produits'!$B$5:$J$91,9,FALSE)="","",VLOOKUP($D103,'Base produits'!$B$5:$J$91,9,FALSE)),""))</f>
        <v/>
      </c>
      <c r="H103" s="32" t="n"/>
      <c r="I103" s="21">
        <f>IF(OR($D103="",$F103="",$G103=""),"",$F103*$G103*(1-IFERROR($H103,0)))</f>
        <v/>
      </c>
      <c r="J103" s="21">
        <f>IF(OR($D103="",$F103="",$G103=""),"",($G103-IFERROR(VLOOKUP($D103,'Base produits'!$B$5:$H$91,7,FALSE),0))*$F103*(1-IFERROR($H103,0)))</f>
        <v/>
      </c>
      <c r="K103" s="23" t="n"/>
      <c r="L103" s="29" t="n"/>
    </row>
    <row r="104" ht="23" customHeight="1">
      <c r="A104" s="30" t="n"/>
      <c r="B104" s="23" t="n"/>
      <c r="C104" s="29" t="n"/>
      <c r="D104" s="23" t="n"/>
      <c r="E104" s="31">
        <f>IF($D104="","",IFERROR(VLOOKUP($D104,'Base produits'!$B$5:$F$91,5,FALSE),""))</f>
        <v/>
      </c>
      <c r="F104" s="23" t="n"/>
      <c r="G104" s="21">
        <f>IF($D104="","",IFERROR(IF(VLOOKUP($D104,'Base produits'!$B$5:$J$91,9,FALSE)="","",VLOOKUP($D104,'Base produits'!$B$5:$J$91,9,FALSE)),""))</f>
        <v/>
      </c>
      <c r="H104" s="32" t="n"/>
      <c r="I104" s="21">
        <f>IF(OR($D104="",$F104="",$G104=""),"",$F104*$G104*(1-IFERROR($H104,0)))</f>
        <v/>
      </c>
      <c r="J104" s="21">
        <f>IF(OR($D104="",$F104="",$G104=""),"",($G104-IFERROR(VLOOKUP($D104,'Base produits'!$B$5:$H$91,7,FALSE),0))*$F104*(1-IFERROR($H104,0)))</f>
        <v/>
      </c>
      <c r="K104" s="23" t="n"/>
      <c r="L104" s="29" t="n"/>
    </row>
    <row r="105" ht="23" customHeight="1">
      <c r="A105" s="30" t="n"/>
      <c r="B105" s="23" t="n"/>
      <c r="C105" s="29" t="n"/>
      <c r="D105" s="23" t="n"/>
      <c r="E105" s="31">
        <f>IF($D105="","",IFERROR(VLOOKUP($D105,'Base produits'!$B$5:$F$91,5,FALSE),""))</f>
        <v/>
      </c>
      <c r="F105" s="23" t="n"/>
      <c r="G105" s="21">
        <f>IF($D105="","",IFERROR(IF(VLOOKUP($D105,'Base produits'!$B$5:$J$91,9,FALSE)="","",VLOOKUP($D105,'Base produits'!$B$5:$J$91,9,FALSE)),""))</f>
        <v/>
      </c>
      <c r="H105" s="32" t="n"/>
      <c r="I105" s="21">
        <f>IF(OR($D105="",$F105="",$G105=""),"",$F105*$G105*(1-IFERROR($H105,0)))</f>
        <v/>
      </c>
      <c r="J105" s="21">
        <f>IF(OR($D105="",$F105="",$G105=""),"",($G105-IFERROR(VLOOKUP($D105,'Base produits'!$B$5:$H$91,7,FALSE),0))*$F105*(1-IFERROR($H105,0)))</f>
        <v/>
      </c>
      <c r="K105" s="23" t="n"/>
      <c r="L105" s="29" t="n"/>
    </row>
    <row r="106" ht="23" customHeight="1">
      <c r="A106" s="30" t="n"/>
      <c r="B106" s="23" t="n"/>
      <c r="C106" s="29" t="n"/>
      <c r="D106" s="23" t="n"/>
      <c r="E106" s="31">
        <f>IF($D106="","",IFERROR(VLOOKUP($D106,'Base produits'!$B$5:$F$91,5,FALSE),""))</f>
        <v/>
      </c>
      <c r="F106" s="23" t="n"/>
      <c r="G106" s="21">
        <f>IF($D106="","",IFERROR(IF(VLOOKUP($D106,'Base produits'!$B$5:$J$91,9,FALSE)="","",VLOOKUP($D106,'Base produits'!$B$5:$J$91,9,FALSE)),""))</f>
        <v/>
      </c>
      <c r="H106" s="32" t="n"/>
      <c r="I106" s="21">
        <f>IF(OR($D106="",$F106="",$G106=""),"",$F106*$G106*(1-IFERROR($H106,0)))</f>
        <v/>
      </c>
      <c r="J106" s="21">
        <f>IF(OR($D106="",$F106="",$G106=""),"",($G106-IFERROR(VLOOKUP($D106,'Base produits'!$B$5:$H$91,7,FALSE),0))*$F106*(1-IFERROR($H106,0)))</f>
        <v/>
      </c>
      <c r="K106" s="23" t="n"/>
      <c r="L106" s="29" t="n"/>
    </row>
    <row r="107" ht="23" customHeight="1">
      <c r="A107" s="30" t="n"/>
      <c r="B107" s="23" t="n"/>
      <c r="C107" s="29" t="n"/>
      <c r="D107" s="23" t="n"/>
      <c r="E107" s="31">
        <f>IF($D107="","",IFERROR(VLOOKUP($D107,'Base produits'!$B$5:$F$91,5,FALSE),""))</f>
        <v/>
      </c>
      <c r="F107" s="23" t="n"/>
      <c r="G107" s="21">
        <f>IF($D107="","",IFERROR(IF(VLOOKUP($D107,'Base produits'!$B$5:$J$91,9,FALSE)="","",VLOOKUP($D107,'Base produits'!$B$5:$J$91,9,FALSE)),""))</f>
        <v/>
      </c>
      <c r="H107" s="32" t="n"/>
      <c r="I107" s="21">
        <f>IF(OR($D107="",$F107="",$G107=""),"",$F107*$G107*(1-IFERROR($H107,0)))</f>
        <v/>
      </c>
      <c r="J107" s="21">
        <f>IF(OR($D107="",$F107="",$G107=""),"",($G107-IFERROR(VLOOKUP($D107,'Base produits'!$B$5:$H$91,7,FALSE),0))*$F107*(1-IFERROR($H107,0)))</f>
        <v/>
      </c>
      <c r="K107" s="23" t="n"/>
      <c r="L107" s="29" t="n"/>
    </row>
    <row r="108" ht="23" customHeight="1">
      <c r="A108" s="30" t="n"/>
      <c r="B108" s="23" t="n"/>
      <c r="C108" s="29" t="n"/>
      <c r="D108" s="23" t="n"/>
      <c r="E108" s="31">
        <f>IF($D108="","",IFERROR(VLOOKUP($D108,'Base produits'!$B$5:$F$91,5,FALSE),""))</f>
        <v/>
      </c>
      <c r="F108" s="23" t="n"/>
      <c r="G108" s="21">
        <f>IF($D108="","",IFERROR(IF(VLOOKUP($D108,'Base produits'!$B$5:$J$91,9,FALSE)="","",VLOOKUP($D108,'Base produits'!$B$5:$J$91,9,FALSE)),""))</f>
        <v/>
      </c>
      <c r="H108" s="32" t="n"/>
      <c r="I108" s="21">
        <f>IF(OR($D108="",$F108="",$G108=""),"",$F108*$G108*(1-IFERROR($H108,0)))</f>
        <v/>
      </c>
      <c r="J108" s="21">
        <f>IF(OR($D108="",$F108="",$G108=""),"",($G108-IFERROR(VLOOKUP($D108,'Base produits'!$B$5:$H$91,7,FALSE),0))*$F108*(1-IFERROR($H108,0)))</f>
        <v/>
      </c>
      <c r="K108" s="23" t="n"/>
      <c r="L108" s="29" t="n"/>
    </row>
    <row r="109" ht="23" customHeight="1">
      <c r="A109" s="30" t="n"/>
      <c r="B109" s="23" t="n"/>
      <c r="C109" s="29" t="n"/>
      <c r="D109" s="23" t="n"/>
      <c r="E109" s="31">
        <f>IF($D109="","",IFERROR(VLOOKUP($D109,'Base produits'!$B$5:$F$91,5,FALSE),""))</f>
        <v/>
      </c>
      <c r="F109" s="23" t="n"/>
      <c r="G109" s="21">
        <f>IF($D109="","",IFERROR(IF(VLOOKUP($D109,'Base produits'!$B$5:$J$91,9,FALSE)="","",VLOOKUP($D109,'Base produits'!$B$5:$J$91,9,FALSE)),""))</f>
        <v/>
      </c>
      <c r="H109" s="32" t="n"/>
      <c r="I109" s="21">
        <f>IF(OR($D109="",$F109="",$G109=""),"",$F109*$G109*(1-IFERROR($H109,0)))</f>
        <v/>
      </c>
      <c r="J109" s="21">
        <f>IF(OR($D109="",$F109="",$G109=""),"",($G109-IFERROR(VLOOKUP($D109,'Base produits'!$B$5:$H$91,7,FALSE),0))*$F109*(1-IFERROR($H109,0)))</f>
        <v/>
      </c>
      <c r="K109" s="23" t="n"/>
      <c r="L109" s="29" t="n"/>
    </row>
    <row r="110" ht="23" customHeight="1">
      <c r="A110" s="30" t="n"/>
      <c r="B110" s="23" t="n"/>
      <c r="C110" s="29" t="n"/>
      <c r="D110" s="23" t="n"/>
      <c r="E110" s="31">
        <f>IF($D110="","",IFERROR(VLOOKUP($D110,'Base produits'!$B$5:$F$91,5,FALSE),""))</f>
        <v/>
      </c>
      <c r="F110" s="23" t="n"/>
      <c r="G110" s="21">
        <f>IF($D110="","",IFERROR(IF(VLOOKUP($D110,'Base produits'!$B$5:$J$91,9,FALSE)="","",VLOOKUP($D110,'Base produits'!$B$5:$J$91,9,FALSE)),""))</f>
        <v/>
      </c>
      <c r="H110" s="32" t="n"/>
      <c r="I110" s="21">
        <f>IF(OR($D110="",$F110="",$G110=""),"",$F110*$G110*(1-IFERROR($H110,0)))</f>
        <v/>
      </c>
      <c r="J110" s="21">
        <f>IF(OR($D110="",$F110="",$G110=""),"",($G110-IFERROR(VLOOKUP($D110,'Base produits'!$B$5:$H$91,7,FALSE),0))*$F110*(1-IFERROR($H110,0)))</f>
        <v/>
      </c>
      <c r="K110" s="23" t="n"/>
      <c r="L110" s="29" t="n"/>
    </row>
    <row r="111" ht="23" customHeight="1">
      <c r="A111" s="30" t="n"/>
      <c r="B111" s="23" t="n"/>
      <c r="C111" s="29" t="n"/>
      <c r="D111" s="23" t="n"/>
      <c r="E111" s="31">
        <f>IF($D111="","",IFERROR(VLOOKUP($D111,'Base produits'!$B$5:$F$91,5,FALSE),""))</f>
        <v/>
      </c>
      <c r="F111" s="23" t="n"/>
      <c r="G111" s="21">
        <f>IF($D111="","",IFERROR(IF(VLOOKUP($D111,'Base produits'!$B$5:$J$91,9,FALSE)="","",VLOOKUP($D111,'Base produits'!$B$5:$J$91,9,FALSE)),""))</f>
        <v/>
      </c>
      <c r="H111" s="32" t="n"/>
      <c r="I111" s="21">
        <f>IF(OR($D111="",$F111="",$G111=""),"",$F111*$G111*(1-IFERROR($H111,0)))</f>
        <v/>
      </c>
      <c r="J111" s="21">
        <f>IF(OR($D111="",$F111="",$G111=""),"",($G111-IFERROR(VLOOKUP($D111,'Base produits'!$B$5:$H$91,7,FALSE),0))*$F111*(1-IFERROR($H111,0)))</f>
        <v/>
      </c>
      <c r="K111" s="23" t="n"/>
      <c r="L111" s="29" t="n"/>
    </row>
    <row r="112" ht="23" customHeight="1">
      <c r="A112" s="30" t="n"/>
      <c r="B112" s="23" t="n"/>
      <c r="C112" s="29" t="n"/>
      <c r="D112" s="23" t="n"/>
      <c r="E112" s="31">
        <f>IF($D112="","",IFERROR(VLOOKUP($D112,'Base produits'!$B$5:$F$91,5,FALSE),""))</f>
        <v/>
      </c>
      <c r="F112" s="23" t="n"/>
      <c r="G112" s="21">
        <f>IF($D112="","",IFERROR(IF(VLOOKUP($D112,'Base produits'!$B$5:$J$91,9,FALSE)="","",VLOOKUP($D112,'Base produits'!$B$5:$J$91,9,FALSE)),""))</f>
        <v/>
      </c>
      <c r="H112" s="32" t="n"/>
      <c r="I112" s="21">
        <f>IF(OR($D112="",$F112="",$G112=""),"",$F112*$G112*(1-IFERROR($H112,0)))</f>
        <v/>
      </c>
      <c r="J112" s="21">
        <f>IF(OR($D112="",$F112="",$G112=""),"",($G112-IFERROR(VLOOKUP($D112,'Base produits'!$B$5:$H$91,7,FALSE),0))*$F112*(1-IFERROR($H112,0)))</f>
        <v/>
      </c>
      <c r="K112" s="23" t="n"/>
      <c r="L112" s="29" t="n"/>
    </row>
    <row r="113" ht="23" customHeight="1">
      <c r="A113" s="30" t="n"/>
      <c r="B113" s="23" t="n"/>
      <c r="C113" s="29" t="n"/>
      <c r="D113" s="23" t="n"/>
      <c r="E113" s="31">
        <f>IF($D113="","",IFERROR(VLOOKUP($D113,'Base produits'!$B$5:$F$91,5,FALSE),""))</f>
        <v/>
      </c>
      <c r="F113" s="23" t="n"/>
      <c r="G113" s="21">
        <f>IF($D113="","",IFERROR(IF(VLOOKUP($D113,'Base produits'!$B$5:$J$91,9,FALSE)="","",VLOOKUP($D113,'Base produits'!$B$5:$J$91,9,FALSE)),""))</f>
        <v/>
      </c>
      <c r="H113" s="32" t="n"/>
      <c r="I113" s="21">
        <f>IF(OR($D113="",$F113="",$G113=""),"",$F113*$G113*(1-IFERROR($H113,0)))</f>
        <v/>
      </c>
      <c r="J113" s="21">
        <f>IF(OR($D113="",$F113="",$G113=""),"",($G113-IFERROR(VLOOKUP($D113,'Base produits'!$B$5:$H$91,7,FALSE),0))*$F113*(1-IFERROR($H113,0)))</f>
        <v/>
      </c>
      <c r="K113" s="23" t="n"/>
      <c r="L113" s="29" t="n"/>
    </row>
    <row r="114" ht="23" customHeight="1">
      <c r="A114" s="30" t="n"/>
      <c r="B114" s="23" t="n"/>
      <c r="C114" s="29" t="n"/>
      <c r="D114" s="23" t="n"/>
      <c r="E114" s="31">
        <f>IF($D114="","",IFERROR(VLOOKUP($D114,'Base produits'!$B$5:$F$91,5,FALSE),""))</f>
        <v/>
      </c>
      <c r="F114" s="23" t="n"/>
      <c r="G114" s="21">
        <f>IF($D114="","",IFERROR(IF(VLOOKUP($D114,'Base produits'!$B$5:$J$91,9,FALSE)="","",VLOOKUP($D114,'Base produits'!$B$5:$J$91,9,FALSE)),""))</f>
        <v/>
      </c>
      <c r="H114" s="32" t="n"/>
      <c r="I114" s="21">
        <f>IF(OR($D114="",$F114="",$G114=""),"",$F114*$G114*(1-IFERROR($H114,0)))</f>
        <v/>
      </c>
      <c r="J114" s="21">
        <f>IF(OR($D114="",$F114="",$G114=""),"",($G114-IFERROR(VLOOKUP($D114,'Base produits'!$B$5:$H$91,7,FALSE),0))*$F114*(1-IFERROR($H114,0)))</f>
        <v/>
      </c>
      <c r="K114" s="23" t="n"/>
      <c r="L114" s="29" t="n"/>
    </row>
    <row r="115" ht="23" customHeight="1">
      <c r="A115" s="30" t="n"/>
      <c r="B115" s="23" t="n"/>
      <c r="C115" s="29" t="n"/>
      <c r="D115" s="23" t="n"/>
      <c r="E115" s="31">
        <f>IF($D115="","",IFERROR(VLOOKUP($D115,'Base produits'!$B$5:$F$91,5,FALSE),""))</f>
        <v/>
      </c>
      <c r="F115" s="23" t="n"/>
      <c r="G115" s="21">
        <f>IF($D115="","",IFERROR(IF(VLOOKUP($D115,'Base produits'!$B$5:$J$91,9,FALSE)="","",VLOOKUP($D115,'Base produits'!$B$5:$J$91,9,FALSE)),""))</f>
        <v/>
      </c>
      <c r="H115" s="32" t="n"/>
      <c r="I115" s="21">
        <f>IF(OR($D115="",$F115="",$G115=""),"",$F115*$G115*(1-IFERROR($H115,0)))</f>
        <v/>
      </c>
      <c r="J115" s="21">
        <f>IF(OR($D115="",$F115="",$G115=""),"",($G115-IFERROR(VLOOKUP($D115,'Base produits'!$B$5:$H$91,7,FALSE),0))*$F115*(1-IFERROR($H115,0)))</f>
        <v/>
      </c>
      <c r="K115" s="23" t="n"/>
      <c r="L115" s="29" t="n"/>
    </row>
    <row r="116" ht="23" customHeight="1">
      <c r="A116" s="30" t="n"/>
      <c r="B116" s="23" t="n"/>
      <c r="C116" s="29" t="n"/>
      <c r="D116" s="23" t="n"/>
      <c r="E116" s="31">
        <f>IF($D116="","",IFERROR(VLOOKUP($D116,'Base produits'!$B$5:$F$91,5,FALSE),""))</f>
        <v/>
      </c>
      <c r="F116" s="23" t="n"/>
      <c r="G116" s="21">
        <f>IF($D116="","",IFERROR(IF(VLOOKUP($D116,'Base produits'!$B$5:$J$91,9,FALSE)="","",VLOOKUP($D116,'Base produits'!$B$5:$J$91,9,FALSE)),""))</f>
        <v/>
      </c>
      <c r="H116" s="32" t="n"/>
      <c r="I116" s="21">
        <f>IF(OR($D116="",$F116="",$G116=""),"",$F116*$G116*(1-IFERROR($H116,0)))</f>
        <v/>
      </c>
      <c r="J116" s="21">
        <f>IF(OR($D116="",$F116="",$G116=""),"",($G116-IFERROR(VLOOKUP($D116,'Base produits'!$B$5:$H$91,7,FALSE),0))*$F116*(1-IFERROR($H116,0)))</f>
        <v/>
      </c>
      <c r="K116" s="23" t="n"/>
      <c r="L116" s="29" t="n"/>
    </row>
    <row r="117" ht="23" customHeight="1">
      <c r="A117" s="30" t="n"/>
      <c r="B117" s="23" t="n"/>
      <c r="C117" s="29" t="n"/>
      <c r="D117" s="23" t="n"/>
      <c r="E117" s="31">
        <f>IF($D117="","",IFERROR(VLOOKUP($D117,'Base produits'!$B$5:$F$91,5,FALSE),""))</f>
        <v/>
      </c>
      <c r="F117" s="23" t="n"/>
      <c r="G117" s="21">
        <f>IF($D117="","",IFERROR(IF(VLOOKUP($D117,'Base produits'!$B$5:$J$91,9,FALSE)="","",VLOOKUP($D117,'Base produits'!$B$5:$J$91,9,FALSE)),""))</f>
        <v/>
      </c>
      <c r="H117" s="32" t="n"/>
      <c r="I117" s="21">
        <f>IF(OR($D117="",$F117="",$G117=""),"",$F117*$G117*(1-IFERROR($H117,0)))</f>
        <v/>
      </c>
      <c r="J117" s="21">
        <f>IF(OR($D117="",$F117="",$G117=""),"",($G117-IFERROR(VLOOKUP($D117,'Base produits'!$B$5:$H$91,7,FALSE),0))*$F117*(1-IFERROR($H117,0)))</f>
        <v/>
      </c>
      <c r="K117" s="23" t="n"/>
      <c r="L117" s="29" t="n"/>
    </row>
    <row r="118" ht="23" customHeight="1">
      <c r="A118" s="30" t="n"/>
      <c r="B118" s="23" t="n"/>
      <c r="C118" s="29" t="n"/>
      <c r="D118" s="23" t="n"/>
      <c r="E118" s="31">
        <f>IF($D118="","",IFERROR(VLOOKUP($D118,'Base produits'!$B$5:$F$91,5,FALSE),""))</f>
        <v/>
      </c>
      <c r="F118" s="23" t="n"/>
      <c r="G118" s="21">
        <f>IF($D118="","",IFERROR(IF(VLOOKUP($D118,'Base produits'!$B$5:$J$91,9,FALSE)="","",VLOOKUP($D118,'Base produits'!$B$5:$J$91,9,FALSE)),""))</f>
        <v/>
      </c>
      <c r="H118" s="32" t="n"/>
      <c r="I118" s="21">
        <f>IF(OR($D118="",$F118="",$G118=""),"",$F118*$G118*(1-IFERROR($H118,0)))</f>
        <v/>
      </c>
      <c r="J118" s="21">
        <f>IF(OR($D118="",$F118="",$G118=""),"",($G118-IFERROR(VLOOKUP($D118,'Base produits'!$B$5:$H$91,7,FALSE),0))*$F118*(1-IFERROR($H118,0)))</f>
        <v/>
      </c>
      <c r="K118" s="23" t="n"/>
      <c r="L118" s="29" t="n"/>
    </row>
    <row r="119" ht="23" customHeight="1">
      <c r="A119" s="30" t="n"/>
      <c r="B119" s="23" t="n"/>
      <c r="C119" s="29" t="n"/>
      <c r="D119" s="23" t="n"/>
      <c r="E119" s="31">
        <f>IF($D119="","",IFERROR(VLOOKUP($D119,'Base produits'!$B$5:$F$91,5,FALSE),""))</f>
        <v/>
      </c>
      <c r="F119" s="23" t="n"/>
      <c r="G119" s="21">
        <f>IF($D119="","",IFERROR(IF(VLOOKUP($D119,'Base produits'!$B$5:$J$91,9,FALSE)="","",VLOOKUP($D119,'Base produits'!$B$5:$J$91,9,FALSE)),""))</f>
        <v/>
      </c>
      <c r="H119" s="32" t="n"/>
      <c r="I119" s="21">
        <f>IF(OR($D119="",$F119="",$G119=""),"",$F119*$G119*(1-IFERROR($H119,0)))</f>
        <v/>
      </c>
      <c r="J119" s="21">
        <f>IF(OR($D119="",$F119="",$G119=""),"",($G119-IFERROR(VLOOKUP($D119,'Base produits'!$B$5:$H$91,7,FALSE),0))*$F119*(1-IFERROR($H119,0)))</f>
        <v/>
      </c>
      <c r="K119" s="23" t="n"/>
      <c r="L119" s="29" t="n"/>
    </row>
    <row r="120" ht="23" customHeight="1">
      <c r="A120" s="30" t="n"/>
      <c r="B120" s="23" t="n"/>
      <c r="C120" s="29" t="n"/>
      <c r="D120" s="23" t="n"/>
      <c r="E120" s="31">
        <f>IF($D120="","",IFERROR(VLOOKUP($D120,'Base produits'!$B$5:$F$91,5,FALSE),""))</f>
        <v/>
      </c>
      <c r="F120" s="23" t="n"/>
      <c r="G120" s="21">
        <f>IF($D120="","",IFERROR(IF(VLOOKUP($D120,'Base produits'!$B$5:$J$91,9,FALSE)="","",VLOOKUP($D120,'Base produits'!$B$5:$J$91,9,FALSE)),""))</f>
        <v/>
      </c>
      <c r="H120" s="32" t="n"/>
      <c r="I120" s="21">
        <f>IF(OR($D120="",$F120="",$G120=""),"",$F120*$G120*(1-IFERROR($H120,0)))</f>
        <v/>
      </c>
      <c r="J120" s="21">
        <f>IF(OR($D120="",$F120="",$G120=""),"",($G120-IFERROR(VLOOKUP($D120,'Base produits'!$B$5:$H$91,7,FALSE),0))*$F120*(1-IFERROR($H120,0)))</f>
        <v/>
      </c>
      <c r="K120" s="23" t="n"/>
      <c r="L120" s="29" t="n"/>
    </row>
    <row r="121" ht="23" customHeight="1">
      <c r="A121" s="30" t="n"/>
      <c r="B121" s="23" t="n"/>
      <c r="C121" s="29" t="n"/>
      <c r="D121" s="23" t="n"/>
      <c r="E121" s="31">
        <f>IF($D121="","",IFERROR(VLOOKUP($D121,'Base produits'!$B$5:$F$91,5,FALSE),""))</f>
        <v/>
      </c>
      <c r="F121" s="23" t="n"/>
      <c r="G121" s="21">
        <f>IF($D121="","",IFERROR(IF(VLOOKUP($D121,'Base produits'!$B$5:$J$91,9,FALSE)="","",VLOOKUP($D121,'Base produits'!$B$5:$J$91,9,FALSE)),""))</f>
        <v/>
      </c>
      <c r="H121" s="32" t="n"/>
      <c r="I121" s="21">
        <f>IF(OR($D121="",$F121="",$G121=""),"",$F121*$G121*(1-IFERROR($H121,0)))</f>
        <v/>
      </c>
      <c r="J121" s="21">
        <f>IF(OR($D121="",$F121="",$G121=""),"",($G121-IFERROR(VLOOKUP($D121,'Base produits'!$B$5:$H$91,7,FALSE),0))*$F121*(1-IFERROR($H121,0)))</f>
        <v/>
      </c>
      <c r="K121" s="23" t="n"/>
      <c r="L121" s="29" t="n"/>
    </row>
    <row r="122" ht="23" customHeight="1">
      <c r="A122" s="30" t="n"/>
      <c r="B122" s="23" t="n"/>
      <c r="C122" s="29" t="n"/>
      <c r="D122" s="23" t="n"/>
      <c r="E122" s="31">
        <f>IF($D122="","",IFERROR(VLOOKUP($D122,'Base produits'!$B$5:$F$91,5,FALSE),""))</f>
        <v/>
      </c>
      <c r="F122" s="23" t="n"/>
      <c r="G122" s="21">
        <f>IF($D122="","",IFERROR(IF(VLOOKUP($D122,'Base produits'!$B$5:$J$91,9,FALSE)="","",VLOOKUP($D122,'Base produits'!$B$5:$J$91,9,FALSE)),""))</f>
        <v/>
      </c>
      <c r="H122" s="32" t="n"/>
      <c r="I122" s="21">
        <f>IF(OR($D122="",$F122="",$G122=""),"",$F122*$G122*(1-IFERROR($H122,0)))</f>
        <v/>
      </c>
      <c r="J122" s="21">
        <f>IF(OR($D122="",$F122="",$G122=""),"",($G122-IFERROR(VLOOKUP($D122,'Base produits'!$B$5:$H$91,7,FALSE),0))*$F122*(1-IFERROR($H122,0)))</f>
        <v/>
      </c>
      <c r="K122" s="23" t="n"/>
      <c r="L122" s="29" t="n"/>
    </row>
    <row r="123" ht="23" customHeight="1">
      <c r="A123" s="30" t="n"/>
      <c r="B123" s="23" t="n"/>
      <c r="C123" s="29" t="n"/>
      <c r="D123" s="23" t="n"/>
      <c r="E123" s="31">
        <f>IF($D123="","",IFERROR(VLOOKUP($D123,'Base produits'!$B$5:$F$91,5,FALSE),""))</f>
        <v/>
      </c>
      <c r="F123" s="23" t="n"/>
      <c r="G123" s="21">
        <f>IF($D123="","",IFERROR(IF(VLOOKUP($D123,'Base produits'!$B$5:$J$91,9,FALSE)="","",VLOOKUP($D123,'Base produits'!$B$5:$J$91,9,FALSE)),""))</f>
        <v/>
      </c>
      <c r="H123" s="32" t="n"/>
      <c r="I123" s="21">
        <f>IF(OR($D123="",$F123="",$G123=""),"",$F123*$G123*(1-IFERROR($H123,0)))</f>
        <v/>
      </c>
      <c r="J123" s="21">
        <f>IF(OR($D123="",$F123="",$G123=""),"",($G123-IFERROR(VLOOKUP($D123,'Base produits'!$B$5:$H$91,7,FALSE),0))*$F123*(1-IFERROR($H123,0)))</f>
        <v/>
      </c>
      <c r="K123" s="23" t="n"/>
      <c r="L123" s="29" t="n"/>
    </row>
    <row r="124" ht="23" customHeight="1">
      <c r="A124" s="30" t="n"/>
      <c r="B124" s="23" t="n"/>
      <c r="C124" s="29" t="n"/>
      <c r="D124" s="23" t="n"/>
      <c r="E124" s="31">
        <f>IF($D124="","",IFERROR(VLOOKUP($D124,'Base produits'!$B$5:$F$91,5,FALSE),""))</f>
        <v/>
      </c>
      <c r="F124" s="23" t="n"/>
      <c r="G124" s="21">
        <f>IF($D124="","",IFERROR(IF(VLOOKUP($D124,'Base produits'!$B$5:$J$91,9,FALSE)="","",VLOOKUP($D124,'Base produits'!$B$5:$J$91,9,FALSE)),""))</f>
        <v/>
      </c>
      <c r="H124" s="32" t="n"/>
      <c r="I124" s="21">
        <f>IF(OR($D124="",$F124="",$G124=""),"",$F124*$G124*(1-IFERROR($H124,0)))</f>
        <v/>
      </c>
      <c r="J124" s="21">
        <f>IF(OR($D124="",$F124="",$G124=""),"",($G124-IFERROR(VLOOKUP($D124,'Base produits'!$B$5:$H$91,7,FALSE),0))*$F124*(1-IFERROR($H124,0)))</f>
        <v/>
      </c>
      <c r="K124" s="23" t="n"/>
      <c r="L124" s="29" t="n"/>
    </row>
    <row r="125" ht="23" customHeight="1">
      <c r="A125" s="30" t="n"/>
      <c r="B125" s="23" t="n"/>
      <c r="C125" s="29" t="n"/>
      <c r="D125" s="23" t="n"/>
      <c r="E125" s="31">
        <f>IF($D125="","",IFERROR(VLOOKUP($D125,'Base produits'!$B$5:$F$91,5,FALSE),""))</f>
        <v/>
      </c>
      <c r="F125" s="23" t="n"/>
      <c r="G125" s="21">
        <f>IF($D125="","",IFERROR(IF(VLOOKUP($D125,'Base produits'!$B$5:$J$91,9,FALSE)="","",VLOOKUP($D125,'Base produits'!$B$5:$J$91,9,FALSE)),""))</f>
        <v/>
      </c>
      <c r="H125" s="32" t="n"/>
      <c r="I125" s="21">
        <f>IF(OR($D125="",$F125="",$G125=""),"",$F125*$G125*(1-IFERROR($H125,0)))</f>
        <v/>
      </c>
      <c r="J125" s="21">
        <f>IF(OR($D125="",$F125="",$G125=""),"",($G125-IFERROR(VLOOKUP($D125,'Base produits'!$B$5:$H$91,7,FALSE),0))*$F125*(1-IFERROR($H125,0)))</f>
        <v/>
      </c>
      <c r="K125" s="23" t="n"/>
      <c r="L125" s="29" t="n"/>
    </row>
    <row r="126" ht="23" customHeight="1">
      <c r="A126" s="30" t="n"/>
      <c r="B126" s="23" t="n"/>
      <c r="C126" s="29" t="n"/>
      <c r="D126" s="23" t="n"/>
      <c r="E126" s="31">
        <f>IF($D126="","",IFERROR(VLOOKUP($D126,'Base produits'!$B$5:$F$91,5,FALSE),""))</f>
        <v/>
      </c>
      <c r="F126" s="23" t="n"/>
      <c r="G126" s="21">
        <f>IF($D126="","",IFERROR(IF(VLOOKUP($D126,'Base produits'!$B$5:$J$91,9,FALSE)="","",VLOOKUP($D126,'Base produits'!$B$5:$J$91,9,FALSE)),""))</f>
        <v/>
      </c>
      <c r="H126" s="32" t="n"/>
      <c r="I126" s="21">
        <f>IF(OR($D126="",$F126="",$G126=""),"",$F126*$G126*(1-IFERROR($H126,0)))</f>
        <v/>
      </c>
      <c r="J126" s="21">
        <f>IF(OR($D126="",$F126="",$G126=""),"",($G126-IFERROR(VLOOKUP($D126,'Base produits'!$B$5:$H$91,7,FALSE),0))*$F126*(1-IFERROR($H126,0)))</f>
        <v/>
      </c>
      <c r="K126" s="23" t="n"/>
      <c r="L126" s="29" t="n"/>
    </row>
    <row r="127" ht="23" customHeight="1">
      <c r="A127" s="30" t="n"/>
      <c r="B127" s="23" t="n"/>
      <c r="C127" s="29" t="n"/>
      <c r="D127" s="23" t="n"/>
      <c r="E127" s="31">
        <f>IF($D127="","",IFERROR(VLOOKUP($D127,'Base produits'!$B$5:$F$91,5,FALSE),""))</f>
        <v/>
      </c>
      <c r="F127" s="23" t="n"/>
      <c r="G127" s="21">
        <f>IF($D127="","",IFERROR(IF(VLOOKUP($D127,'Base produits'!$B$5:$J$91,9,FALSE)="","",VLOOKUP($D127,'Base produits'!$B$5:$J$91,9,FALSE)),""))</f>
        <v/>
      </c>
      <c r="H127" s="32" t="n"/>
      <c r="I127" s="21">
        <f>IF(OR($D127="",$F127="",$G127=""),"",$F127*$G127*(1-IFERROR($H127,0)))</f>
        <v/>
      </c>
      <c r="J127" s="21">
        <f>IF(OR($D127="",$F127="",$G127=""),"",($G127-IFERROR(VLOOKUP($D127,'Base produits'!$B$5:$H$91,7,FALSE),0))*$F127*(1-IFERROR($H127,0)))</f>
        <v/>
      </c>
      <c r="K127" s="23" t="n"/>
      <c r="L127" s="29" t="n"/>
    </row>
    <row r="128" ht="23" customHeight="1">
      <c r="A128" s="30" t="n"/>
      <c r="B128" s="23" t="n"/>
      <c r="C128" s="29" t="n"/>
      <c r="D128" s="23" t="n"/>
      <c r="E128" s="31">
        <f>IF($D128="","",IFERROR(VLOOKUP($D128,'Base produits'!$B$5:$F$91,5,FALSE),""))</f>
        <v/>
      </c>
      <c r="F128" s="23" t="n"/>
      <c r="G128" s="21">
        <f>IF($D128="","",IFERROR(IF(VLOOKUP($D128,'Base produits'!$B$5:$J$91,9,FALSE)="","",VLOOKUP($D128,'Base produits'!$B$5:$J$91,9,FALSE)),""))</f>
        <v/>
      </c>
      <c r="H128" s="32" t="n"/>
      <c r="I128" s="21">
        <f>IF(OR($D128="",$F128="",$G128=""),"",$F128*$G128*(1-IFERROR($H128,0)))</f>
        <v/>
      </c>
      <c r="J128" s="21">
        <f>IF(OR($D128="",$F128="",$G128=""),"",($G128-IFERROR(VLOOKUP($D128,'Base produits'!$B$5:$H$91,7,FALSE),0))*$F128*(1-IFERROR($H128,0)))</f>
        <v/>
      </c>
      <c r="K128" s="23" t="n"/>
      <c r="L128" s="29" t="n"/>
    </row>
    <row r="129" ht="23" customHeight="1">
      <c r="A129" s="30" t="n"/>
      <c r="B129" s="23" t="n"/>
      <c r="C129" s="29" t="n"/>
      <c r="D129" s="23" t="n"/>
      <c r="E129" s="31">
        <f>IF($D129="","",IFERROR(VLOOKUP($D129,'Base produits'!$B$5:$F$91,5,FALSE),""))</f>
        <v/>
      </c>
      <c r="F129" s="23" t="n"/>
      <c r="G129" s="21">
        <f>IF($D129="","",IFERROR(IF(VLOOKUP($D129,'Base produits'!$B$5:$J$91,9,FALSE)="","",VLOOKUP($D129,'Base produits'!$B$5:$J$91,9,FALSE)),""))</f>
        <v/>
      </c>
      <c r="H129" s="32" t="n"/>
      <c r="I129" s="21">
        <f>IF(OR($D129="",$F129="",$G129=""),"",$F129*$G129*(1-IFERROR($H129,0)))</f>
        <v/>
      </c>
      <c r="J129" s="21">
        <f>IF(OR($D129="",$F129="",$G129=""),"",($G129-IFERROR(VLOOKUP($D129,'Base produits'!$B$5:$H$91,7,FALSE),0))*$F129*(1-IFERROR($H129,0)))</f>
        <v/>
      </c>
      <c r="K129" s="23" t="n"/>
      <c r="L129" s="29" t="n"/>
    </row>
    <row r="130" ht="23" customHeight="1">
      <c r="A130" s="30" t="n"/>
      <c r="B130" s="23" t="n"/>
      <c r="C130" s="29" t="n"/>
      <c r="D130" s="23" t="n"/>
      <c r="E130" s="31">
        <f>IF($D130="","",IFERROR(VLOOKUP($D130,'Base produits'!$B$5:$F$91,5,FALSE),""))</f>
        <v/>
      </c>
      <c r="F130" s="23" t="n"/>
      <c r="G130" s="21">
        <f>IF($D130="","",IFERROR(IF(VLOOKUP($D130,'Base produits'!$B$5:$J$91,9,FALSE)="","",VLOOKUP($D130,'Base produits'!$B$5:$J$91,9,FALSE)),""))</f>
        <v/>
      </c>
      <c r="H130" s="32" t="n"/>
      <c r="I130" s="21">
        <f>IF(OR($D130="",$F130="",$G130=""),"",$F130*$G130*(1-IFERROR($H130,0)))</f>
        <v/>
      </c>
      <c r="J130" s="21">
        <f>IF(OR($D130="",$F130="",$G130=""),"",($G130-IFERROR(VLOOKUP($D130,'Base produits'!$B$5:$H$91,7,FALSE),0))*$F130*(1-IFERROR($H130,0)))</f>
        <v/>
      </c>
      <c r="K130" s="23" t="n"/>
      <c r="L130" s="29" t="n"/>
    </row>
    <row r="131" ht="23" customHeight="1">
      <c r="A131" s="30" t="n"/>
      <c r="B131" s="23" t="n"/>
      <c r="C131" s="29" t="n"/>
      <c r="D131" s="23" t="n"/>
      <c r="E131" s="31">
        <f>IF($D131="","",IFERROR(VLOOKUP($D131,'Base produits'!$B$5:$F$91,5,FALSE),""))</f>
        <v/>
      </c>
      <c r="F131" s="23" t="n"/>
      <c r="G131" s="21">
        <f>IF($D131="","",IFERROR(IF(VLOOKUP($D131,'Base produits'!$B$5:$J$91,9,FALSE)="","",VLOOKUP($D131,'Base produits'!$B$5:$J$91,9,FALSE)),""))</f>
        <v/>
      </c>
      <c r="H131" s="32" t="n"/>
      <c r="I131" s="21">
        <f>IF(OR($D131="",$F131="",$G131=""),"",$F131*$G131*(1-IFERROR($H131,0)))</f>
        <v/>
      </c>
      <c r="J131" s="21">
        <f>IF(OR($D131="",$F131="",$G131=""),"",($G131-IFERROR(VLOOKUP($D131,'Base produits'!$B$5:$H$91,7,FALSE),0))*$F131*(1-IFERROR($H131,0)))</f>
        <v/>
      </c>
      <c r="K131" s="23" t="n"/>
      <c r="L131" s="29" t="n"/>
    </row>
    <row r="132" ht="23" customHeight="1">
      <c r="A132" s="30" t="n"/>
      <c r="B132" s="23" t="n"/>
      <c r="C132" s="29" t="n"/>
      <c r="D132" s="23" t="n"/>
      <c r="E132" s="31">
        <f>IF($D132="","",IFERROR(VLOOKUP($D132,'Base produits'!$B$5:$F$91,5,FALSE),""))</f>
        <v/>
      </c>
      <c r="F132" s="23" t="n"/>
      <c r="G132" s="21">
        <f>IF($D132="","",IFERROR(IF(VLOOKUP($D132,'Base produits'!$B$5:$J$91,9,FALSE)="","",VLOOKUP($D132,'Base produits'!$B$5:$J$91,9,FALSE)),""))</f>
        <v/>
      </c>
      <c r="H132" s="32" t="n"/>
      <c r="I132" s="21">
        <f>IF(OR($D132="",$F132="",$G132=""),"",$F132*$G132*(1-IFERROR($H132,0)))</f>
        <v/>
      </c>
      <c r="J132" s="21">
        <f>IF(OR($D132="",$F132="",$G132=""),"",($G132-IFERROR(VLOOKUP($D132,'Base produits'!$B$5:$H$91,7,FALSE),0))*$F132*(1-IFERROR($H132,0)))</f>
        <v/>
      </c>
      <c r="K132" s="23" t="n"/>
      <c r="L132" s="29" t="n"/>
    </row>
    <row r="133" ht="23" customHeight="1">
      <c r="A133" s="30" t="n"/>
      <c r="B133" s="23" t="n"/>
      <c r="C133" s="29" t="n"/>
      <c r="D133" s="23" t="n"/>
      <c r="E133" s="31">
        <f>IF($D133="","",IFERROR(VLOOKUP($D133,'Base produits'!$B$5:$F$91,5,FALSE),""))</f>
        <v/>
      </c>
      <c r="F133" s="23" t="n"/>
      <c r="G133" s="21">
        <f>IF($D133="","",IFERROR(IF(VLOOKUP($D133,'Base produits'!$B$5:$J$91,9,FALSE)="","",VLOOKUP($D133,'Base produits'!$B$5:$J$91,9,FALSE)),""))</f>
        <v/>
      </c>
      <c r="H133" s="32" t="n"/>
      <c r="I133" s="21">
        <f>IF(OR($D133="",$F133="",$G133=""),"",$F133*$G133*(1-IFERROR($H133,0)))</f>
        <v/>
      </c>
      <c r="J133" s="21">
        <f>IF(OR($D133="",$F133="",$G133=""),"",($G133-IFERROR(VLOOKUP($D133,'Base produits'!$B$5:$H$91,7,FALSE),0))*$F133*(1-IFERROR($H133,0)))</f>
        <v/>
      </c>
      <c r="K133" s="23" t="n"/>
      <c r="L133" s="29" t="n"/>
    </row>
    <row r="134" ht="23" customHeight="1">
      <c r="A134" s="30" t="n"/>
      <c r="B134" s="23" t="n"/>
      <c r="C134" s="29" t="n"/>
      <c r="D134" s="23" t="n"/>
      <c r="E134" s="31">
        <f>IF($D134="","",IFERROR(VLOOKUP($D134,'Base produits'!$B$5:$F$91,5,FALSE),""))</f>
        <v/>
      </c>
      <c r="F134" s="23" t="n"/>
      <c r="G134" s="21">
        <f>IF($D134="","",IFERROR(IF(VLOOKUP($D134,'Base produits'!$B$5:$J$91,9,FALSE)="","",VLOOKUP($D134,'Base produits'!$B$5:$J$91,9,FALSE)),""))</f>
        <v/>
      </c>
      <c r="H134" s="32" t="n"/>
      <c r="I134" s="21">
        <f>IF(OR($D134="",$F134="",$G134=""),"",$F134*$G134*(1-IFERROR($H134,0)))</f>
        <v/>
      </c>
      <c r="J134" s="21">
        <f>IF(OR($D134="",$F134="",$G134=""),"",($G134-IFERROR(VLOOKUP($D134,'Base produits'!$B$5:$H$91,7,FALSE),0))*$F134*(1-IFERROR($H134,0)))</f>
        <v/>
      </c>
      <c r="K134" s="23" t="n"/>
      <c r="L134" s="29" t="n"/>
    </row>
    <row r="135" ht="23" customHeight="1">
      <c r="A135" s="30" t="n"/>
      <c r="B135" s="23" t="n"/>
      <c r="C135" s="29" t="n"/>
      <c r="D135" s="23" t="n"/>
      <c r="E135" s="31">
        <f>IF($D135="","",IFERROR(VLOOKUP($D135,'Base produits'!$B$5:$F$91,5,FALSE),""))</f>
        <v/>
      </c>
      <c r="F135" s="23" t="n"/>
      <c r="G135" s="21">
        <f>IF($D135="","",IFERROR(IF(VLOOKUP($D135,'Base produits'!$B$5:$J$91,9,FALSE)="","",VLOOKUP($D135,'Base produits'!$B$5:$J$91,9,FALSE)),""))</f>
        <v/>
      </c>
      <c r="H135" s="32" t="n"/>
      <c r="I135" s="21">
        <f>IF(OR($D135="",$F135="",$G135=""),"",$F135*$G135*(1-IFERROR($H135,0)))</f>
        <v/>
      </c>
      <c r="J135" s="21">
        <f>IF(OR($D135="",$F135="",$G135=""),"",($G135-IFERROR(VLOOKUP($D135,'Base produits'!$B$5:$H$91,7,FALSE),0))*$F135*(1-IFERROR($H135,0)))</f>
        <v/>
      </c>
      <c r="K135" s="23" t="n"/>
      <c r="L135" s="29" t="n"/>
    </row>
    <row r="136" ht="23" customHeight="1">
      <c r="A136" s="30" t="n"/>
      <c r="B136" s="23" t="n"/>
      <c r="C136" s="29" t="n"/>
      <c r="D136" s="23" t="n"/>
      <c r="E136" s="31">
        <f>IF($D136="","",IFERROR(VLOOKUP($D136,'Base produits'!$B$5:$F$91,5,FALSE),""))</f>
        <v/>
      </c>
      <c r="F136" s="23" t="n"/>
      <c r="G136" s="21">
        <f>IF($D136="","",IFERROR(IF(VLOOKUP($D136,'Base produits'!$B$5:$J$91,9,FALSE)="","",VLOOKUP($D136,'Base produits'!$B$5:$J$91,9,FALSE)),""))</f>
        <v/>
      </c>
      <c r="H136" s="32" t="n"/>
      <c r="I136" s="21">
        <f>IF(OR($D136="",$F136="",$G136=""),"",$F136*$G136*(1-IFERROR($H136,0)))</f>
        <v/>
      </c>
      <c r="J136" s="21">
        <f>IF(OR($D136="",$F136="",$G136=""),"",($G136-IFERROR(VLOOKUP($D136,'Base produits'!$B$5:$H$91,7,FALSE),0))*$F136*(1-IFERROR($H136,0)))</f>
        <v/>
      </c>
      <c r="K136" s="23" t="n"/>
      <c r="L136" s="29" t="n"/>
    </row>
    <row r="137" ht="23" customHeight="1">
      <c r="A137" s="30" t="n"/>
      <c r="B137" s="23" t="n"/>
      <c r="C137" s="29" t="n"/>
      <c r="D137" s="23" t="n"/>
      <c r="E137" s="31">
        <f>IF($D137="","",IFERROR(VLOOKUP($D137,'Base produits'!$B$5:$F$91,5,FALSE),""))</f>
        <v/>
      </c>
      <c r="F137" s="23" t="n"/>
      <c r="G137" s="21">
        <f>IF($D137="","",IFERROR(IF(VLOOKUP($D137,'Base produits'!$B$5:$J$91,9,FALSE)="","",VLOOKUP($D137,'Base produits'!$B$5:$J$91,9,FALSE)),""))</f>
        <v/>
      </c>
      <c r="H137" s="32" t="n"/>
      <c r="I137" s="21">
        <f>IF(OR($D137="",$F137="",$G137=""),"",$F137*$G137*(1-IFERROR($H137,0)))</f>
        <v/>
      </c>
      <c r="J137" s="21">
        <f>IF(OR($D137="",$F137="",$G137=""),"",($G137-IFERROR(VLOOKUP($D137,'Base produits'!$B$5:$H$91,7,FALSE),0))*$F137*(1-IFERROR($H137,0)))</f>
        <v/>
      </c>
      <c r="K137" s="23" t="n"/>
      <c r="L137" s="29" t="n"/>
    </row>
    <row r="138" ht="23" customHeight="1">
      <c r="A138" s="30" t="n"/>
      <c r="B138" s="23" t="n"/>
      <c r="C138" s="29" t="n"/>
      <c r="D138" s="23" t="n"/>
      <c r="E138" s="31">
        <f>IF($D138="","",IFERROR(VLOOKUP($D138,'Base produits'!$B$5:$F$91,5,FALSE),""))</f>
        <v/>
      </c>
      <c r="F138" s="23" t="n"/>
      <c r="G138" s="21">
        <f>IF($D138="","",IFERROR(IF(VLOOKUP($D138,'Base produits'!$B$5:$J$91,9,FALSE)="","",VLOOKUP($D138,'Base produits'!$B$5:$J$91,9,FALSE)),""))</f>
        <v/>
      </c>
      <c r="H138" s="32" t="n"/>
      <c r="I138" s="21">
        <f>IF(OR($D138="",$F138="",$G138=""),"",$F138*$G138*(1-IFERROR($H138,0)))</f>
        <v/>
      </c>
      <c r="J138" s="21">
        <f>IF(OR($D138="",$F138="",$G138=""),"",($G138-IFERROR(VLOOKUP($D138,'Base produits'!$B$5:$H$91,7,FALSE),0))*$F138*(1-IFERROR($H138,0)))</f>
        <v/>
      </c>
      <c r="K138" s="23" t="n"/>
      <c r="L138" s="29" t="n"/>
    </row>
    <row r="139" ht="23" customHeight="1">
      <c r="A139" s="30" t="n"/>
      <c r="B139" s="23" t="n"/>
      <c r="C139" s="29" t="n"/>
      <c r="D139" s="23" t="n"/>
      <c r="E139" s="31">
        <f>IF($D139="","",IFERROR(VLOOKUP($D139,'Base produits'!$B$5:$F$91,5,FALSE),""))</f>
        <v/>
      </c>
      <c r="F139" s="23" t="n"/>
      <c r="G139" s="21">
        <f>IF($D139="","",IFERROR(IF(VLOOKUP($D139,'Base produits'!$B$5:$J$91,9,FALSE)="","",VLOOKUP($D139,'Base produits'!$B$5:$J$91,9,FALSE)),""))</f>
        <v/>
      </c>
      <c r="H139" s="32" t="n"/>
      <c r="I139" s="21">
        <f>IF(OR($D139="",$F139="",$G139=""),"",$F139*$G139*(1-IFERROR($H139,0)))</f>
        <v/>
      </c>
      <c r="J139" s="21">
        <f>IF(OR($D139="",$F139="",$G139=""),"",($G139-IFERROR(VLOOKUP($D139,'Base produits'!$B$5:$H$91,7,FALSE),0))*$F139*(1-IFERROR($H139,0)))</f>
        <v/>
      </c>
      <c r="K139" s="23" t="n"/>
      <c r="L139" s="29" t="n"/>
    </row>
    <row r="140" ht="23" customHeight="1">
      <c r="A140" s="30" t="n"/>
      <c r="B140" s="23" t="n"/>
      <c r="C140" s="29" t="n"/>
      <c r="D140" s="23" t="n"/>
      <c r="E140" s="31">
        <f>IF($D140="","",IFERROR(VLOOKUP($D140,'Base produits'!$B$5:$F$91,5,FALSE),""))</f>
        <v/>
      </c>
      <c r="F140" s="23" t="n"/>
      <c r="G140" s="21">
        <f>IF($D140="","",IFERROR(IF(VLOOKUP($D140,'Base produits'!$B$5:$J$91,9,FALSE)="","",VLOOKUP($D140,'Base produits'!$B$5:$J$91,9,FALSE)),""))</f>
        <v/>
      </c>
      <c r="H140" s="32" t="n"/>
      <c r="I140" s="21">
        <f>IF(OR($D140="",$F140="",$G140=""),"",$F140*$G140*(1-IFERROR($H140,0)))</f>
        <v/>
      </c>
      <c r="J140" s="21">
        <f>IF(OR($D140="",$F140="",$G140=""),"",($G140-IFERROR(VLOOKUP($D140,'Base produits'!$B$5:$H$91,7,FALSE),0))*$F140*(1-IFERROR($H140,0)))</f>
        <v/>
      </c>
      <c r="K140" s="23" t="n"/>
      <c r="L140" s="29" t="n"/>
    </row>
    <row r="141" ht="23" customHeight="1">
      <c r="A141" s="30" t="n"/>
      <c r="B141" s="23" t="n"/>
      <c r="C141" s="29" t="n"/>
      <c r="D141" s="23" t="n"/>
      <c r="E141" s="31">
        <f>IF($D141="","",IFERROR(VLOOKUP($D141,'Base produits'!$B$5:$F$91,5,FALSE),""))</f>
        <v/>
      </c>
      <c r="F141" s="23" t="n"/>
      <c r="G141" s="21">
        <f>IF($D141="","",IFERROR(IF(VLOOKUP($D141,'Base produits'!$B$5:$J$91,9,FALSE)="","",VLOOKUP($D141,'Base produits'!$B$5:$J$91,9,FALSE)),""))</f>
        <v/>
      </c>
      <c r="H141" s="32" t="n"/>
      <c r="I141" s="21">
        <f>IF(OR($D141="",$F141="",$G141=""),"",$F141*$G141*(1-IFERROR($H141,0)))</f>
        <v/>
      </c>
      <c r="J141" s="21">
        <f>IF(OR($D141="",$F141="",$G141=""),"",($G141-IFERROR(VLOOKUP($D141,'Base produits'!$B$5:$H$91,7,FALSE),0))*$F141*(1-IFERROR($H141,0)))</f>
        <v/>
      </c>
      <c r="K141" s="23" t="n"/>
      <c r="L141" s="29" t="n"/>
    </row>
    <row r="142" ht="23" customHeight="1">
      <c r="A142" s="30" t="n"/>
      <c r="B142" s="23" t="n"/>
      <c r="C142" s="29" t="n"/>
      <c r="D142" s="23" t="n"/>
      <c r="E142" s="31">
        <f>IF($D142="","",IFERROR(VLOOKUP($D142,'Base produits'!$B$5:$F$91,5,FALSE),""))</f>
        <v/>
      </c>
      <c r="F142" s="23" t="n"/>
      <c r="G142" s="21">
        <f>IF($D142="","",IFERROR(IF(VLOOKUP($D142,'Base produits'!$B$5:$J$91,9,FALSE)="","",VLOOKUP($D142,'Base produits'!$B$5:$J$91,9,FALSE)),""))</f>
        <v/>
      </c>
      <c r="H142" s="32" t="n"/>
      <c r="I142" s="21">
        <f>IF(OR($D142="",$F142="",$G142=""),"",$F142*$G142*(1-IFERROR($H142,0)))</f>
        <v/>
      </c>
      <c r="J142" s="21">
        <f>IF(OR($D142="",$F142="",$G142=""),"",($G142-IFERROR(VLOOKUP($D142,'Base produits'!$B$5:$H$91,7,FALSE),0))*$F142*(1-IFERROR($H142,0)))</f>
        <v/>
      </c>
      <c r="K142" s="23" t="n"/>
      <c r="L142" s="29" t="n"/>
    </row>
    <row r="143" ht="23" customHeight="1">
      <c r="A143" s="30" t="n"/>
      <c r="B143" s="23" t="n"/>
      <c r="C143" s="29" t="n"/>
      <c r="D143" s="23" t="n"/>
      <c r="E143" s="31">
        <f>IF($D143="","",IFERROR(VLOOKUP($D143,'Base produits'!$B$5:$F$91,5,FALSE),""))</f>
        <v/>
      </c>
      <c r="F143" s="23" t="n"/>
      <c r="G143" s="21">
        <f>IF($D143="","",IFERROR(IF(VLOOKUP($D143,'Base produits'!$B$5:$J$91,9,FALSE)="","",VLOOKUP($D143,'Base produits'!$B$5:$J$91,9,FALSE)),""))</f>
        <v/>
      </c>
      <c r="H143" s="32" t="n"/>
      <c r="I143" s="21">
        <f>IF(OR($D143="",$F143="",$G143=""),"",$F143*$G143*(1-IFERROR($H143,0)))</f>
        <v/>
      </c>
      <c r="J143" s="21">
        <f>IF(OR($D143="",$F143="",$G143=""),"",($G143-IFERROR(VLOOKUP($D143,'Base produits'!$B$5:$H$91,7,FALSE),0))*$F143*(1-IFERROR($H143,0)))</f>
        <v/>
      </c>
      <c r="K143" s="23" t="n"/>
      <c r="L143" s="29" t="n"/>
    </row>
    <row r="144" ht="23" customHeight="1">
      <c r="A144" s="30" t="n"/>
      <c r="B144" s="23" t="n"/>
      <c r="C144" s="29" t="n"/>
      <c r="D144" s="23" t="n"/>
      <c r="E144" s="31">
        <f>IF($D144="","",IFERROR(VLOOKUP($D144,'Base produits'!$B$5:$F$91,5,FALSE),""))</f>
        <v/>
      </c>
      <c r="F144" s="23" t="n"/>
      <c r="G144" s="21">
        <f>IF($D144="","",IFERROR(IF(VLOOKUP($D144,'Base produits'!$B$5:$J$91,9,FALSE)="","",VLOOKUP($D144,'Base produits'!$B$5:$J$91,9,FALSE)),""))</f>
        <v/>
      </c>
      <c r="H144" s="32" t="n"/>
      <c r="I144" s="21">
        <f>IF(OR($D144="",$F144="",$G144=""),"",$F144*$G144*(1-IFERROR($H144,0)))</f>
        <v/>
      </c>
      <c r="J144" s="21">
        <f>IF(OR($D144="",$F144="",$G144=""),"",($G144-IFERROR(VLOOKUP($D144,'Base produits'!$B$5:$H$91,7,FALSE),0))*$F144*(1-IFERROR($H144,0)))</f>
        <v/>
      </c>
      <c r="K144" s="23" t="n"/>
      <c r="L144" s="29" t="n"/>
    </row>
    <row r="145" ht="23" customHeight="1">
      <c r="A145" s="30" t="n"/>
      <c r="B145" s="23" t="n"/>
      <c r="C145" s="29" t="n"/>
      <c r="D145" s="23" t="n"/>
      <c r="E145" s="31">
        <f>IF($D145="","",IFERROR(VLOOKUP($D145,'Base produits'!$B$5:$F$91,5,FALSE),""))</f>
        <v/>
      </c>
      <c r="F145" s="23" t="n"/>
      <c r="G145" s="21">
        <f>IF($D145="","",IFERROR(IF(VLOOKUP($D145,'Base produits'!$B$5:$J$91,9,FALSE)="","",VLOOKUP($D145,'Base produits'!$B$5:$J$91,9,FALSE)),""))</f>
        <v/>
      </c>
      <c r="H145" s="32" t="n"/>
      <c r="I145" s="21">
        <f>IF(OR($D145="",$F145="",$G145=""),"",$F145*$G145*(1-IFERROR($H145,0)))</f>
        <v/>
      </c>
      <c r="J145" s="21">
        <f>IF(OR($D145="",$F145="",$G145=""),"",($G145-IFERROR(VLOOKUP($D145,'Base produits'!$B$5:$H$91,7,FALSE),0))*$F145*(1-IFERROR($H145,0)))</f>
        <v/>
      </c>
      <c r="K145" s="23" t="n"/>
      <c r="L145" s="29" t="n"/>
    </row>
    <row r="146" ht="23" customHeight="1">
      <c r="A146" s="30" t="n"/>
      <c r="B146" s="23" t="n"/>
      <c r="C146" s="29" t="n"/>
      <c r="D146" s="23" t="n"/>
      <c r="E146" s="31">
        <f>IF($D146="","",IFERROR(VLOOKUP($D146,'Base produits'!$B$5:$F$91,5,FALSE),""))</f>
        <v/>
      </c>
      <c r="F146" s="23" t="n"/>
      <c r="G146" s="21">
        <f>IF($D146="","",IFERROR(IF(VLOOKUP($D146,'Base produits'!$B$5:$J$91,9,FALSE)="","",VLOOKUP($D146,'Base produits'!$B$5:$J$91,9,FALSE)),""))</f>
        <v/>
      </c>
      <c r="H146" s="32" t="n"/>
      <c r="I146" s="21">
        <f>IF(OR($D146="",$F146="",$G146=""),"",$F146*$G146*(1-IFERROR($H146,0)))</f>
        <v/>
      </c>
      <c r="J146" s="21">
        <f>IF(OR($D146="",$F146="",$G146=""),"",($G146-IFERROR(VLOOKUP($D146,'Base produits'!$B$5:$H$91,7,FALSE),0))*$F146*(1-IFERROR($H146,0)))</f>
        <v/>
      </c>
      <c r="K146" s="23" t="n"/>
      <c r="L146" s="29" t="n"/>
    </row>
    <row r="147" ht="23" customHeight="1">
      <c r="A147" s="30" t="n"/>
      <c r="B147" s="23" t="n"/>
      <c r="C147" s="29" t="n"/>
      <c r="D147" s="23" t="n"/>
      <c r="E147" s="31">
        <f>IF($D147="","",IFERROR(VLOOKUP($D147,'Base produits'!$B$5:$F$91,5,FALSE),""))</f>
        <v/>
      </c>
      <c r="F147" s="23" t="n"/>
      <c r="G147" s="21">
        <f>IF($D147="","",IFERROR(IF(VLOOKUP($D147,'Base produits'!$B$5:$J$91,9,FALSE)="","",VLOOKUP($D147,'Base produits'!$B$5:$J$91,9,FALSE)),""))</f>
        <v/>
      </c>
      <c r="H147" s="32" t="n"/>
      <c r="I147" s="21">
        <f>IF(OR($D147="",$F147="",$G147=""),"",$F147*$G147*(1-IFERROR($H147,0)))</f>
        <v/>
      </c>
      <c r="J147" s="21">
        <f>IF(OR($D147="",$F147="",$G147=""),"",($G147-IFERROR(VLOOKUP($D147,'Base produits'!$B$5:$H$91,7,FALSE),0))*$F147*(1-IFERROR($H147,0)))</f>
        <v/>
      </c>
      <c r="K147" s="23" t="n"/>
      <c r="L147" s="29" t="n"/>
    </row>
    <row r="148" ht="23" customHeight="1">
      <c r="A148" s="30" t="n"/>
      <c r="B148" s="23" t="n"/>
      <c r="C148" s="29" t="n"/>
      <c r="D148" s="23" t="n"/>
      <c r="E148" s="31">
        <f>IF($D148="","",IFERROR(VLOOKUP($D148,'Base produits'!$B$5:$F$91,5,FALSE),""))</f>
        <v/>
      </c>
      <c r="F148" s="23" t="n"/>
      <c r="G148" s="21">
        <f>IF($D148="","",IFERROR(IF(VLOOKUP($D148,'Base produits'!$B$5:$J$91,9,FALSE)="","",VLOOKUP($D148,'Base produits'!$B$5:$J$91,9,FALSE)),""))</f>
        <v/>
      </c>
      <c r="H148" s="32" t="n"/>
      <c r="I148" s="21">
        <f>IF(OR($D148="",$F148="",$G148=""),"",$F148*$G148*(1-IFERROR($H148,0)))</f>
        <v/>
      </c>
      <c r="J148" s="21">
        <f>IF(OR($D148="",$F148="",$G148=""),"",($G148-IFERROR(VLOOKUP($D148,'Base produits'!$B$5:$H$91,7,FALSE),0))*$F148*(1-IFERROR($H148,0)))</f>
        <v/>
      </c>
      <c r="K148" s="23" t="n"/>
      <c r="L148" s="29" t="n"/>
    </row>
    <row r="149" ht="23" customHeight="1">
      <c r="A149" s="30" t="n"/>
      <c r="B149" s="23" t="n"/>
      <c r="C149" s="29" t="n"/>
      <c r="D149" s="23" t="n"/>
      <c r="E149" s="31">
        <f>IF($D149="","",IFERROR(VLOOKUP($D149,'Base produits'!$B$5:$F$91,5,FALSE),""))</f>
        <v/>
      </c>
      <c r="F149" s="23" t="n"/>
      <c r="G149" s="21">
        <f>IF($D149="","",IFERROR(IF(VLOOKUP($D149,'Base produits'!$B$5:$J$91,9,FALSE)="","",VLOOKUP($D149,'Base produits'!$B$5:$J$91,9,FALSE)),""))</f>
        <v/>
      </c>
      <c r="H149" s="32" t="n"/>
      <c r="I149" s="21">
        <f>IF(OR($D149="",$F149="",$G149=""),"",$F149*$G149*(1-IFERROR($H149,0)))</f>
        <v/>
      </c>
      <c r="J149" s="21">
        <f>IF(OR($D149="",$F149="",$G149=""),"",($G149-IFERROR(VLOOKUP($D149,'Base produits'!$B$5:$H$91,7,FALSE),0))*$F149*(1-IFERROR($H149,0)))</f>
        <v/>
      </c>
      <c r="K149" s="23" t="n"/>
      <c r="L149" s="29" t="n"/>
    </row>
    <row r="150" ht="23" customHeight="1">
      <c r="A150" s="30" t="n"/>
      <c r="B150" s="23" t="n"/>
      <c r="C150" s="29" t="n"/>
      <c r="D150" s="23" t="n"/>
      <c r="E150" s="31">
        <f>IF($D150="","",IFERROR(VLOOKUP($D150,'Base produits'!$B$5:$F$91,5,FALSE),""))</f>
        <v/>
      </c>
      <c r="F150" s="23" t="n"/>
      <c r="G150" s="21">
        <f>IF($D150="","",IFERROR(IF(VLOOKUP($D150,'Base produits'!$B$5:$J$91,9,FALSE)="","",VLOOKUP($D150,'Base produits'!$B$5:$J$91,9,FALSE)),""))</f>
        <v/>
      </c>
      <c r="H150" s="32" t="n"/>
      <c r="I150" s="21">
        <f>IF(OR($D150="",$F150="",$G150=""),"",$F150*$G150*(1-IFERROR($H150,0)))</f>
        <v/>
      </c>
      <c r="J150" s="21">
        <f>IF(OR($D150="",$F150="",$G150=""),"",($G150-IFERROR(VLOOKUP($D150,'Base produits'!$B$5:$H$91,7,FALSE),0))*$F150*(1-IFERROR($H150,0)))</f>
        <v/>
      </c>
      <c r="K150" s="23" t="n"/>
      <c r="L150" s="29" t="n"/>
    </row>
    <row r="151" ht="23" customHeight="1">
      <c r="A151" s="30" t="n"/>
      <c r="B151" s="23" t="n"/>
      <c r="C151" s="29" t="n"/>
      <c r="D151" s="23" t="n"/>
      <c r="E151" s="31">
        <f>IF($D151="","",IFERROR(VLOOKUP($D151,'Base produits'!$B$5:$F$91,5,FALSE),""))</f>
        <v/>
      </c>
      <c r="F151" s="23" t="n"/>
      <c r="G151" s="21">
        <f>IF($D151="","",IFERROR(IF(VLOOKUP($D151,'Base produits'!$B$5:$J$91,9,FALSE)="","",VLOOKUP($D151,'Base produits'!$B$5:$J$91,9,FALSE)),""))</f>
        <v/>
      </c>
      <c r="H151" s="32" t="n"/>
      <c r="I151" s="21">
        <f>IF(OR($D151="",$F151="",$G151=""),"",$F151*$G151*(1-IFERROR($H151,0)))</f>
        <v/>
      </c>
      <c r="J151" s="21">
        <f>IF(OR($D151="",$F151="",$G151=""),"",($G151-IFERROR(VLOOKUP($D151,'Base produits'!$B$5:$H$91,7,FALSE),0))*$F151*(1-IFERROR($H151,0)))</f>
        <v/>
      </c>
      <c r="K151" s="23" t="n"/>
      <c r="L151" s="29" t="n"/>
    </row>
    <row r="152" ht="23" customHeight="1">
      <c r="A152" s="30" t="n"/>
      <c r="B152" s="23" t="n"/>
      <c r="C152" s="29" t="n"/>
      <c r="D152" s="23" t="n"/>
      <c r="E152" s="31">
        <f>IF($D152="","",IFERROR(VLOOKUP($D152,'Base produits'!$B$5:$F$91,5,FALSE),""))</f>
        <v/>
      </c>
      <c r="F152" s="23" t="n"/>
      <c r="G152" s="21">
        <f>IF($D152="","",IFERROR(IF(VLOOKUP($D152,'Base produits'!$B$5:$J$91,9,FALSE)="","",VLOOKUP($D152,'Base produits'!$B$5:$J$91,9,FALSE)),""))</f>
        <v/>
      </c>
      <c r="H152" s="32" t="n"/>
      <c r="I152" s="21">
        <f>IF(OR($D152="",$F152="",$G152=""),"",$F152*$G152*(1-IFERROR($H152,0)))</f>
        <v/>
      </c>
      <c r="J152" s="21">
        <f>IF(OR($D152="",$F152="",$G152=""),"",($G152-IFERROR(VLOOKUP($D152,'Base produits'!$B$5:$H$91,7,FALSE),0))*$F152*(1-IFERROR($H152,0)))</f>
        <v/>
      </c>
      <c r="K152" s="23" t="n"/>
      <c r="L152" s="29" t="n"/>
    </row>
    <row r="153" ht="23" customHeight="1">
      <c r="A153" s="30" t="n"/>
      <c r="B153" s="23" t="n"/>
      <c r="C153" s="29" t="n"/>
      <c r="D153" s="23" t="n"/>
      <c r="E153" s="31">
        <f>IF($D153="","",IFERROR(VLOOKUP($D153,'Base produits'!$B$5:$F$91,5,FALSE),""))</f>
        <v/>
      </c>
      <c r="F153" s="23" t="n"/>
      <c r="G153" s="21">
        <f>IF($D153="","",IFERROR(IF(VLOOKUP($D153,'Base produits'!$B$5:$J$91,9,FALSE)="","",VLOOKUP($D153,'Base produits'!$B$5:$J$91,9,FALSE)),""))</f>
        <v/>
      </c>
      <c r="H153" s="32" t="n"/>
      <c r="I153" s="21">
        <f>IF(OR($D153="",$F153="",$G153=""),"",$F153*$G153*(1-IFERROR($H153,0)))</f>
        <v/>
      </c>
      <c r="J153" s="21">
        <f>IF(OR($D153="",$F153="",$G153=""),"",($G153-IFERROR(VLOOKUP($D153,'Base produits'!$B$5:$H$91,7,FALSE),0))*$F153*(1-IFERROR($H153,0)))</f>
        <v/>
      </c>
      <c r="K153" s="23" t="n"/>
      <c r="L153" s="29" t="n"/>
    </row>
    <row r="154" ht="23" customHeight="1">
      <c r="A154" s="30" t="n"/>
      <c r="B154" s="23" t="n"/>
      <c r="C154" s="29" t="n"/>
      <c r="D154" s="23" t="n"/>
      <c r="E154" s="31">
        <f>IF($D154="","",IFERROR(VLOOKUP($D154,'Base produits'!$B$5:$F$91,5,FALSE),""))</f>
        <v/>
      </c>
      <c r="F154" s="23" t="n"/>
      <c r="G154" s="21">
        <f>IF($D154="","",IFERROR(IF(VLOOKUP($D154,'Base produits'!$B$5:$J$91,9,FALSE)="","",VLOOKUP($D154,'Base produits'!$B$5:$J$91,9,FALSE)),""))</f>
        <v/>
      </c>
      <c r="H154" s="32" t="n"/>
      <c r="I154" s="21">
        <f>IF(OR($D154="",$F154="",$G154=""),"",$F154*$G154*(1-IFERROR($H154,0)))</f>
        <v/>
      </c>
      <c r="J154" s="21">
        <f>IF(OR($D154="",$F154="",$G154=""),"",($G154-IFERROR(VLOOKUP($D154,'Base produits'!$B$5:$H$91,7,FALSE),0))*$F154*(1-IFERROR($H154,0)))</f>
        <v/>
      </c>
      <c r="K154" s="23" t="n"/>
      <c r="L154" s="29" t="n"/>
    </row>
    <row r="155" ht="23" customHeight="1">
      <c r="A155" s="30" t="n"/>
      <c r="B155" s="23" t="n"/>
      <c r="C155" s="29" t="n"/>
      <c r="D155" s="23" t="n"/>
      <c r="E155" s="31">
        <f>IF($D155="","",IFERROR(VLOOKUP($D155,'Base produits'!$B$5:$F$91,5,FALSE),""))</f>
        <v/>
      </c>
      <c r="F155" s="23" t="n"/>
      <c r="G155" s="21">
        <f>IF($D155="","",IFERROR(IF(VLOOKUP($D155,'Base produits'!$B$5:$J$91,9,FALSE)="","",VLOOKUP($D155,'Base produits'!$B$5:$J$91,9,FALSE)),""))</f>
        <v/>
      </c>
      <c r="H155" s="32" t="n"/>
      <c r="I155" s="21">
        <f>IF(OR($D155="",$F155="",$G155=""),"",$F155*$G155*(1-IFERROR($H155,0)))</f>
        <v/>
      </c>
      <c r="J155" s="21">
        <f>IF(OR($D155="",$F155="",$G155=""),"",($G155-IFERROR(VLOOKUP($D155,'Base produits'!$B$5:$H$91,7,FALSE),0))*$F155*(1-IFERROR($H155,0)))</f>
        <v/>
      </c>
      <c r="K155" s="23" t="n"/>
      <c r="L155" s="29" t="n"/>
    </row>
    <row r="156" ht="23" customHeight="1">
      <c r="A156" s="30" t="n"/>
      <c r="B156" s="23" t="n"/>
      <c r="C156" s="29" t="n"/>
      <c r="D156" s="23" t="n"/>
      <c r="E156" s="31">
        <f>IF($D156="","",IFERROR(VLOOKUP($D156,'Base produits'!$B$5:$F$91,5,FALSE),""))</f>
        <v/>
      </c>
      <c r="F156" s="23" t="n"/>
      <c r="G156" s="21">
        <f>IF($D156="","",IFERROR(IF(VLOOKUP($D156,'Base produits'!$B$5:$J$91,9,FALSE)="","",VLOOKUP($D156,'Base produits'!$B$5:$J$91,9,FALSE)),""))</f>
        <v/>
      </c>
      <c r="H156" s="32" t="n"/>
      <c r="I156" s="21">
        <f>IF(OR($D156="",$F156="",$G156=""),"",$F156*$G156*(1-IFERROR($H156,0)))</f>
        <v/>
      </c>
      <c r="J156" s="21">
        <f>IF(OR($D156="",$F156="",$G156=""),"",($G156-IFERROR(VLOOKUP($D156,'Base produits'!$B$5:$H$91,7,FALSE),0))*$F156*(1-IFERROR($H156,0)))</f>
        <v/>
      </c>
      <c r="K156" s="23" t="n"/>
      <c r="L156" s="29" t="n"/>
    </row>
    <row r="157" ht="23" customHeight="1">
      <c r="A157" s="30" t="n"/>
      <c r="B157" s="23" t="n"/>
      <c r="C157" s="29" t="n"/>
      <c r="D157" s="23" t="n"/>
      <c r="E157" s="31">
        <f>IF($D157="","",IFERROR(VLOOKUP($D157,'Base produits'!$B$5:$F$91,5,FALSE),""))</f>
        <v/>
      </c>
      <c r="F157" s="23" t="n"/>
      <c r="G157" s="21">
        <f>IF($D157="","",IFERROR(IF(VLOOKUP($D157,'Base produits'!$B$5:$J$91,9,FALSE)="","",VLOOKUP($D157,'Base produits'!$B$5:$J$91,9,FALSE)),""))</f>
        <v/>
      </c>
      <c r="H157" s="32" t="n"/>
      <c r="I157" s="21">
        <f>IF(OR($D157="",$F157="",$G157=""),"",$F157*$G157*(1-IFERROR($H157,0)))</f>
        <v/>
      </c>
      <c r="J157" s="21">
        <f>IF(OR($D157="",$F157="",$G157=""),"",($G157-IFERROR(VLOOKUP($D157,'Base produits'!$B$5:$H$91,7,FALSE),0))*$F157*(1-IFERROR($H157,0)))</f>
        <v/>
      </c>
      <c r="K157" s="23" t="n"/>
      <c r="L157" s="29" t="n"/>
    </row>
    <row r="158" ht="23" customHeight="1">
      <c r="A158" s="30" t="n"/>
      <c r="B158" s="23" t="n"/>
      <c r="C158" s="29" t="n"/>
      <c r="D158" s="23" t="n"/>
      <c r="E158" s="31">
        <f>IF($D158="","",IFERROR(VLOOKUP($D158,'Base produits'!$B$5:$F$91,5,FALSE),""))</f>
        <v/>
      </c>
      <c r="F158" s="23" t="n"/>
      <c r="G158" s="21">
        <f>IF($D158="","",IFERROR(IF(VLOOKUP($D158,'Base produits'!$B$5:$J$91,9,FALSE)="","",VLOOKUP($D158,'Base produits'!$B$5:$J$91,9,FALSE)),""))</f>
        <v/>
      </c>
      <c r="H158" s="32" t="n"/>
      <c r="I158" s="21">
        <f>IF(OR($D158="",$F158="",$G158=""),"",$F158*$G158*(1-IFERROR($H158,0)))</f>
        <v/>
      </c>
      <c r="J158" s="21">
        <f>IF(OR($D158="",$F158="",$G158=""),"",($G158-IFERROR(VLOOKUP($D158,'Base produits'!$B$5:$H$91,7,FALSE),0))*$F158*(1-IFERROR($H158,0)))</f>
        <v/>
      </c>
      <c r="K158" s="23" t="n"/>
      <c r="L158" s="29" t="n"/>
    </row>
    <row r="159" ht="23" customHeight="1">
      <c r="A159" s="30" t="n"/>
      <c r="B159" s="23" t="n"/>
      <c r="C159" s="29" t="n"/>
      <c r="D159" s="23" t="n"/>
      <c r="E159" s="31">
        <f>IF($D159="","",IFERROR(VLOOKUP($D159,'Base produits'!$B$5:$F$91,5,FALSE),""))</f>
        <v/>
      </c>
      <c r="F159" s="23" t="n"/>
      <c r="G159" s="21">
        <f>IF($D159="","",IFERROR(IF(VLOOKUP($D159,'Base produits'!$B$5:$J$91,9,FALSE)="","",VLOOKUP($D159,'Base produits'!$B$5:$J$91,9,FALSE)),""))</f>
        <v/>
      </c>
      <c r="H159" s="32" t="n"/>
      <c r="I159" s="21">
        <f>IF(OR($D159="",$F159="",$G159=""),"",$F159*$G159*(1-IFERROR($H159,0)))</f>
        <v/>
      </c>
      <c r="J159" s="21">
        <f>IF(OR($D159="",$F159="",$G159=""),"",($G159-IFERROR(VLOOKUP($D159,'Base produits'!$B$5:$H$91,7,FALSE),0))*$F159*(1-IFERROR($H159,0)))</f>
        <v/>
      </c>
      <c r="K159" s="23" t="n"/>
      <c r="L159" s="29" t="n"/>
    </row>
    <row r="160" ht="23" customHeight="1">
      <c r="A160" s="30" t="n"/>
      <c r="B160" s="23" t="n"/>
      <c r="C160" s="29" t="n"/>
      <c r="D160" s="23" t="n"/>
      <c r="E160" s="31">
        <f>IF($D160="","",IFERROR(VLOOKUP($D160,'Base produits'!$B$5:$F$91,5,FALSE),""))</f>
        <v/>
      </c>
      <c r="F160" s="23" t="n"/>
      <c r="G160" s="21">
        <f>IF($D160="","",IFERROR(IF(VLOOKUP($D160,'Base produits'!$B$5:$J$91,9,FALSE)="","",VLOOKUP($D160,'Base produits'!$B$5:$J$91,9,FALSE)),""))</f>
        <v/>
      </c>
      <c r="H160" s="32" t="n"/>
      <c r="I160" s="21">
        <f>IF(OR($D160="",$F160="",$G160=""),"",$F160*$G160*(1-IFERROR($H160,0)))</f>
        <v/>
      </c>
      <c r="J160" s="21">
        <f>IF(OR($D160="",$F160="",$G160=""),"",($G160-IFERROR(VLOOKUP($D160,'Base produits'!$B$5:$H$91,7,FALSE),0))*$F160*(1-IFERROR($H160,0)))</f>
        <v/>
      </c>
      <c r="K160" s="23" t="n"/>
      <c r="L160" s="29" t="n"/>
    </row>
    <row r="161" ht="23" customHeight="1">
      <c r="A161" s="30" t="n"/>
      <c r="B161" s="23" t="n"/>
      <c r="C161" s="29" t="n"/>
      <c r="D161" s="23" t="n"/>
      <c r="E161" s="31">
        <f>IF($D161="","",IFERROR(VLOOKUP($D161,'Base produits'!$B$5:$F$91,5,FALSE),""))</f>
        <v/>
      </c>
      <c r="F161" s="23" t="n"/>
      <c r="G161" s="21">
        <f>IF($D161="","",IFERROR(IF(VLOOKUP($D161,'Base produits'!$B$5:$J$91,9,FALSE)="","",VLOOKUP($D161,'Base produits'!$B$5:$J$91,9,FALSE)),""))</f>
        <v/>
      </c>
      <c r="H161" s="32" t="n"/>
      <c r="I161" s="21">
        <f>IF(OR($D161="",$F161="",$G161=""),"",$F161*$G161*(1-IFERROR($H161,0)))</f>
        <v/>
      </c>
      <c r="J161" s="21">
        <f>IF(OR($D161="",$F161="",$G161=""),"",($G161-IFERROR(VLOOKUP($D161,'Base produits'!$B$5:$H$91,7,FALSE),0))*$F161*(1-IFERROR($H161,0)))</f>
        <v/>
      </c>
      <c r="K161" s="23" t="n"/>
      <c r="L161" s="29" t="n"/>
    </row>
    <row r="162" ht="23" customHeight="1">
      <c r="A162" s="30" t="n"/>
      <c r="B162" s="23" t="n"/>
      <c r="C162" s="29" t="n"/>
      <c r="D162" s="23" t="n"/>
      <c r="E162" s="31">
        <f>IF($D162="","",IFERROR(VLOOKUP($D162,'Base produits'!$B$5:$F$91,5,FALSE),""))</f>
        <v/>
      </c>
      <c r="F162" s="23" t="n"/>
      <c r="G162" s="21">
        <f>IF($D162="","",IFERROR(IF(VLOOKUP($D162,'Base produits'!$B$5:$J$91,9,FALSE)="","",VLOOKUP($D162,'Base produits'!$B$5:$J$91,9,FALSE)),""))</f>
        <v/>
      </c>
      <c r="H162" s="32" t="n"/>
      <c r="I162" s="21">
        <f>IF(OR($D162="",$F162="",$G162=""),"",$F162*$G162*(1-IFERROR($H162,0)))</f>
        <v/>
      </c>
      <c r="J162" s="21">
        <f>IF(OR($D162="",$F162="",$G162=""),"",($G162-IFERROR(VLOOKUP($D162,'Base produits'!$B$5:$H$91,7,FALSE),0))*$F162*(1-IFERROR($H162,0)))</f>
        <v/>
      </c>
      <c r="K162" s="23" t="n"/>
      <c r="L162" s="29" t="n"/>
    </row>
    <row r="163" ht="23" customHeight="1">
      <c r="A163" s="30" t="n"/>
      <c r="B163" s="23" t="n"/>
      <c r="C163" s="29" t="n"/>
      <c r="D163" s="23" t="n"/>
      <c r="E163" s="31">
        <f>IF($D163="","",IFERROR(VLOOKUP($D163,'Base produits'!$B$5:$F$91,5,FALSE),""))</f>
        <v/>
      </c>
      <c r="F163" s="23" t="n"/>
      <c r="G163" s="21">
        <f>IF($D163="","",IFERROR(IF(VLOOKUP($D163,'Base produits'!$B$5:$J$91,9,FALSE)="","",VLOOKUP($D163,'Base produits'!$B$5:$J$91,9,FALSE)),""))</f>
        <v/>
      </c>
      <c r="H163" s="32" t="n"/>
      <c r="I163" s="21">
        <f>IF(OR($D163="",$F163="",$G163=""),"",$F163*$G163*(1-IFERROR($H163,0)))</f>
        <v/>
      </c>
      <c r="J163" s="21">
        <f>IF(OR($D163="",$F163="",$G163=""),"",($G163-IFERROR(VLOOKUP($D163,'Base produits'!$B$5:$H$91,7,FALSE),0))*$F163*(1-IFERROR($H163,0)))</f>
        <v/>
      </c>
      <c r="K163" s="23" t="n"/>
      <c r="L163" s="29" t="n"/>
    </row>
    <row r="164" ht="23" customHeight="1">
      <c r="A164" s="30" t="n"/>
      <c r="B164" s="23" t="n"/>
      <c r="C164" s="29" t="n"/>
      <c r="D164" s="23" t="n"/>
      <c r="E164" s="31">
        <f>IF($D164="","",IFERROR(VLOOKUP($D164,'Base produits'!$B$5:$F$91,5,FALSE),""))</f>
        <v/>
      </c>
      <c r="F164" s="23" t="n"/>
      <c r="G164" s="21">
        <f>IF($D164="","",IFERROR(IF(VLOOKUP($D164,'Base produits'!$B$5:$J$91,9,FALSE)="","",VLOOKUP($D164,'Base produits'!$B$5:$J$91,9,FALSE)),""))</f>
        <v/>
      </c>
      <c r="H164" s="32" t="n"/>
      <c r="I164" s="21">
        <f>IF(OR($D164="",$F164="",$G164=""),"",$F164*$G164*(1-IFERROR($H164,0)))</f>
        <v/>
      </c>
      <c r="J164" s="21">
        <f>IF(OR($D164="",$F164="",$G164=""),"",($G164-IFERROR(VLOOKUP($D164,'Base produits'!$B$5:$H$91,7,FALSE),0))*$F164*(1-IFERROR($H164,0)))</f>
        <v/>
      </c>
      <c r="K164" s="23" t="n"/>
      <c r="L164" s="29" t="n"/>
    </row>
    <row r="165" ht="23" customHeight="1">
      <c r="A165" s="30" t="n"/>
      <c r="B165" s="23" t="n"/>
      <c r="C165" s="29" t="n"/>
      <c r="D165" s="23" t="n"/>
      <c r="E165" s="31">
        <f>IF($D165="","",IFERROR(VLOOKUP($D165,'Base produits'!$B$5:$F$91,5,FALSE),""))</f>
        <v/>
      </c>
      <c r="F165" s="23" t="n"/>
      <c r="G165" s="21">
        <f>IF($D165="","",IFERROR(IF(VLOOKUP($D165,'Base produits'!$B$5:$J$91,9,FALSE)="","",VLOOKUP($D165,'Base produits'!$B$5:$J$91,9,FALSE)),""))</f>
        <v/>
      </c>
      <c r="H165" s="32" t="n"/>
      <c r="I165" s="21">
        <f>IF(OR($D165="",$F165="",$G165=""),"",$F165*$G165*(1-IFERROR($H165,0)))</f>
        <v/>
      </c>
      <c r="J165" s="21">
        <f>IF(OR($D165="",$F165="",$G165=""),"",($G165-IFERROR(VLOOKUP($D165,'Base produits'!$B$5:$H$91,7,FALSE),0))*$F165*(1-IFERROR($H165,0)))</f>
        <v/>
      </c>
      <c r="K165" s="23" t="n"/>
      <c r="L165" s="29" t="n"/>
    </row>
    <row r="166" ht="23" customHeight="1">
      <c r="A166" s="30" t="n"/>
      <c r="B166" s="23" t="n"/>
      <c r="C166" s="29" t="n"/>
      <c r="D166" s="23" t="n"/>
      <c r="E166" s="31">
        <f>IF($D166="","",IFERROR(VLOOKUP($D166,'Base produits'!$B$5:$F$91,5,FALSE),""))</f>
        <v/>
      </c>
      <c r="F166" s="23" t="n"/>
      <c r="G166" s="21">
        <f>IF($D166="","",IFERROR(IF(VLOOKUP($D166,'Base produits'!$B$5:$J$91,9,FALSE)="","",VLOOKUP($D166,'Base produits'!$B$5:$J$91,9,FALSE)),""))</f>
        <v/>
      </c>
      <c r="H166" s="32" t="n"/>
      <c r="I166" s="21">
        <f>IF(OR($D166="",$F166="",$G166=""),"",$F166*$G166*(1-IFERROR($H166,0)))</f>
        <v/>
      </c>
      <c r="J166" s="21">
        <f>IF(OR($D166="",$F166="",$G166=""),"",($G166-IFERROR(VLOOKUP($D166,'Base produits'!$B$5:$H$91,7,FALSE),0))*$F166*(1-IFERROR($H166,0)))</f>
        <v/>
      </c>
      <c r="K166" s="23" t="n"/>
      <c r="L166" s="29" t="n"/>
    </row>
    <row r="167" ht="23" customHeight="1">
      <c r="A167" s="30" t="n"/>
      <c r="B167" s="23" t="n"/>
      <c r="C167" s="29" t="n"/>
      <c r="D167" s="23" t="n"/>
      <c r="E167" s="31">
        <f>IF($D167="","",IFERROR(VLOOKUP($D167,'Base produits'!$B$5:$F$91,5,FALSE),""))</f>
        <v/>
      </c>
      <c r="F167" s="23" t="n"/>
      <c r="G167" s="21">
        <f>IF($D167="","",IFERROR(IF(VLOOKUP($D167,'Base produits'!$B$5:$J$91,9,FALSE)="","",VLOOKUP($D167,'Base produits'!$B$5:$J$91,9,FALSE)),""))</f>
        <v/>
      </c>
      <c r="H167" s="32" t="n"/>
      <c r="I167" s="21">
        <f>IF(OR($D167="",$F167="",$G167=""),"",$F167*$G167*(1-IFERROR($H167,0)))</f>
        <v/>
      </c>
      <c r="J167" s="21">
        <f>IF(OR($D167="",$F167="",$G167=""),"",($G167-IFERROR(VLOOKUP($D167,'Base produits'!$B$5:$H$91,7,FALSE),0))*$F167*(1-IFERROR($H167,0)))</f>
        <v/>
      </c>
      <c r="K167" s="23" t="n"/>
      <c r="L167" s="29" t="n"/>
    </row>
    <row r="168" ht="23" customHeight="1">
      <c r="A168" s="30" t="n"/>
      <c r="B168" s="23" t="n"/>
      <c r="C168" s="29" t="n"/>
      <c r="D168" s="23" t="n"/>
      <c r="E168" s="31">
        <f>IF($D168="","",IFERROR(VLOOKUP($D168,'Base produits'!$B$5:$F$91,5,FALSE),""))</f>
        <v/>
      </c>
      <c r="F168" s="23" t="n"/>
      <c r="G168" s="21">
        <f>IF($D168="","",IFERROR(IF(VLOOKUP($D168,'Base produits'!$B$5:$J$91,9,FALSE)="","",VLOOKUP($D168,'Base produits'!$B$5:$J$91,9,FALSE)),""))</f>
        <v/>
      </c>
      <c r="H168" s="32" t="n"/>
      <c r="I168" s="21">
        <f>IF(OR($D168="",$F168="",$G168=""),"",$F168*$G168*(1-IFERROR($H168,0)))</f>
        <v/>
      </c>
      <c r="J168" s="21">
        <f>IF(OR($D168="",$F168="",$G168=""),"",($G168-IFERROR(VLOOKUP($D168,'Base produits'!$B$5:$H$91,7,FALSE),0))*$F168*(1-IFERROR($H168,0)))</f>
        <v/>
      </c>
      <c r="K168" s="23" t="n"/>
      <c r="L168" s="29" t="n"/>
    </row>
    <row r="169" ht="23" customHeight="1">
      <c r="A169" s="30" t="n"/>
      <c r="B169" s="23" t="n"/>
      <c r="C169" s="29" t="n"/>
      <c r="D169" s="23" t="n"/>
      <c r="E169" s="31">
        <f>IF($D169="","",IFERROR(VLOOKUP($D169,'Base produits'!$B$5:$F$91,5,FALSE),""))</f>
        <v/>
      </c>
      <c r="F169" s="23" t="n"/>
      <c r="G169" s="21">
        <f>IF($D169="","",IFERROR(IF(VLOOKUP($D169,'Base produits'!$B$5:$J$91,9,FALSE)="","",VLOOKUP($D169,'Base produits'!$B$5:$J$91,9,FALSE)),""))</f>
        <v/>
      </c>
      <c r="H169" s="32" t="n"/>
      <c r="I169" s="21">
        <f>IF(OR($D169="",$F169="",$G169=""),"",$F169*$G169*(1-IFERROR($H169,0)))</f>
        <v/>
      </c>
      <c r="J169" s="21">
        <f>IF(OR($D169="",$F169="",$G169=""),"",($G169-IFERROR(VLOOKUP($D169,'Base produits'!$B$5:$H$91,7,FALSE),0))*$F169*(1-IFERROR($H169,0)))</f>
        <v/>
      </c>
      <c r="K169" s="23" t="n"/>
      <c r="L169" s="29" t="n"/>
    </row>
    <row r="170" ht="23" customHeight="1">
      <c r="A170" s="30" t="n"/>
      <c r="B170" s="23" t="n"/>
      <c r="C170" s="29" t="n"/>
      <c r="D170" s="23" t="n"/>
      <c r="E170" s="31">
        <f>IF($D170="","",IFERROR(VLOOKUP($D170,'Base produits'!$B$5:$F$91,5,FALSE),""))</f>
        <v/>
      </c>
      <c r="F170" s="23" t="n"/>
      <c r="G170" s="21">
        <f>IF($D170="","",IFERROR(IF(VLOOKUP($D170,'Base produits'!$B$5:$J$91,9,FALSE)="","",VLOOKUP($D170,'Base produits'!$B$5:$J$91,9,FALSE)),""))</f>
        <v/>
      </c>
      <c r="H170" s="32" t="n"/>
      <c r="I170" s="21">
        <f>IF(OR($D170="",$F170="",$G170=""),"",$F170*$G170*(1-IFERROR($H170,0)))</f>
        <v/>
      </c>
      <c r="J170" s="21">
        <f>IF(OR($D170="",$F170="",$G170=""),"",($G170-IFERROR(VLOOKUP($D170,'Base produits'!$B$5:$H$91,7,FALSE),0))*$F170*(1-IFERROR($H170,0)))</f>
        <v/>
      </c>
      <c r="K170" s="23" t="n"/>
      <c r="L170" s="29" t="n"/>
    </row>
    <row r="171" ht="23" customHeight="1">
      <c r="A171" s="30" t="n"/>
      <c r="B171" s="23" t="n"/>
      <c r="C171" s="29" t="n"/>
      <c r="D171" s="23" t="n"/>
      <c r="E171" s="31">
        <f>IF($D171="","",IFERROR(VLOOKUP($D171,'Base produits'!$B$5:$F$91,5,FALSE),""))</f>
        <v/>
      </c>
      <c r="F171" s="23" t="n"/>
      <c r="G171" s="21">
        <f>IF($D171="","",IFERROR(IF(VLOOKUP($D171,'Base produits'!$B$5:$J$91,9,FALSE)="","",VLOOKUP($D171,'Base produits'!$B$5:$J$91,9,FALSE)),""))</f>
        <v/>
      </c>
      <c r="H171" s="32" t="n"/>
      <c r="I171" s="21">
        <f>IF(OR($D171="",$F171="",$G171=""),"",$F171*$G171*(1-IFERROR($H171,0)))</f>
        <v/>
      </c>
      <c r="J171" s="21">
        <f>IF(OR($D171="",$F171="",$G171=""),"",($G171-IFERROR(VLOOKUP($D171,'Base produits'!$B$5:$H$91,7,FALSE),0))*$F171*(1-IFERROR($H171,0)))</f>
        <v/>
      </c>
      <c r="K171" s="23" t="n"/>
      <c r="L171" s="29" t="n"/>
    </row>
    <row r="172" ht="23" customHeight="1">
      <c r="A172" s="30" t="n"/>
      <c r="B172" s="23" t="n"/>
      <c r="C172" s="29" t="n"/>
      <c r="D172" s="23" t="n"/>
      <c r="E172" s="31">
        <f>IF($D172="","",IFERROR(VLOOKUP($D172,'Base produits'!$B$5:$F$91,5,FALSE),""))</f>
        <v/>
      </c>
      <c r="F172" s="23" t="n"/>
      <c r="G172" s="21">
        <f>IF($D172="","",IFERROR(IF(VLOOKUP($D172,'Base produits'!$B$5:$J$91,9,FALSE)="","",VLOOKUP($D172,'Base produits'!$B$5:$J$91,9,FALSE)),""))</f>
        <v/>
      </c>
      <c r="H172" s="32" t="n"/>
      <c r="I172" s="21">
        <f>IF(OR($D172="",$F172="",$G172=""),"",$F172*$G172*(1-IFERROR($H172,0)))</f>
        <v/>
      </c>
      <c r="J172" s="21">
        <f>IF(OR($D172="",$F172="",$G172=""),"",($G172-IFERROR(VLOOKUP($D172,'Base produits'!$B$5:$H$91,7,FALSE),0))*$F172*(1-IFERROR($H172,0)))</f>
        <v/>
      </c>
      <c r="K172" s="23" t="n"/>
      <c r="L172" s="29" t="n"/>
    </row>
    <row r="173" ht="23" customHeight="1">
      <c r="A173" s="30" t="n"/>
      <c r="B173" s="23" t="n"/>
      <c r="C173" s="29" t="n"/>
      <c r="D173" s="23" t="n"/>
      <c r="E173" s="31">
        <f>IF($D173="","",IFERROR(VLOOKUP($D173,'Base produits'!$B$5:$F$91,5,FALSE),""))</f>
        <v/>
      </c>
      <c r="F173" s="23" t="n"/>
      <c r="G173" s="21">
        <f>IF($D173="","",IFERROR(IF(VLOOKUP($D173,'Base produits'!$B$5:$J$91,9,FALSE)="","",VLOOKUP($D173,'Base produits'!$B$5:$J$91,9,FALSE)),""))</f>
        <v/>
      </c>
      <c r="H173" s="32" t="n"/>
      <c r="I173" s="21">
        <f>IF(OR($D173="",$F173="",$G173=""),"",$F173*$G173*(1-IFERROR($H173,0)))</f>
        <v/>
      </c>
      <c r="J173" s="21">
        <f>IF(OR($D173="",$F173="",$G173=""),"",($G173-IFERROR(VLOOKUP($D173,'Base produits'!$B$5:$H$91,7,FALSE),0))*$F173*(1-IFERROR($H173,0)))</f>
        <v/>
      </c>
      <c r="K173" s="23" t="n"/>
      <c r="L173" s="29" t="n"/>
    </row>
    <row r="174" ht="23" customHeight="1">
      <c r="A174" s="30" t="n"/>
      <c r="B174" s="23" t="n"/>
      <c r="C174" s="29" t="n"/>
      <c r="D174" s="23" t="n"/>
      <c r="E174" s="31">
        <f>IF($D174="","",IFERROR(VLOOKUP($D174,'Base produits'!$B$5:$F$91,5,FALSE),""))</f>
        <v/>
      </c>
      <c r="F174" s="23" t="n"/>
      <c r="G174" s="21">
        <f>IF($D174="","",IFERROR(IF(VLOOKUP($D174,'Base produits'!$B$5:$J$91,9,FALSE)="","",VLOOKUP($D174,'Base produits'!$B$5:$J$91,9,FALSE)),""))</f>
        <v/>
      </c>
      <c r="H174" s="32" t="n"/>
      <c r="I174" s="21">
        <f>IF(OR($D174="",$F174="",$G174=""),"",$F174*$G174*(1-IFERROR($H174,0)))</f>
        <v/>
      </c>
      <c r="J174" s="21">
        <f>IF(OR($D174="",$F174="",$G174=""),"",($G174-IFERROR(VLOOKUP($D174,'Base produits'!$B$5:$H$91,7,FALSE),0))*$F174*(1-IFERROR($H174,0)))</f>
        <v/>
      </c>
      <c r="K174" s="23" t="n"/>
      <c r="L174" s="29" t="n"/>
    </row>
    <row r="175" ht="23" customHeight="1">
      <c r="A175" s="30" t="n"/>
      <c r="B175" s="23" t="n"/>
      <c r="C175" s="29" t="n"/>
      <c r="D175" s="23" t="n"/>
      <c r="E175" s="31">
        <f>IF($D175="","",IFERROR(VLOOKUP($D175,'Base produits'!$B$5:$F$91,5,FALSE),""))</f>
        <v/>
      </c>
      <c r="F175" s="23" t="n"/>
      <c r="G175" s="21">
        <f>IF($D175="","",IFERROR(IF(VLOOKUP($D175,'Base produits'!$B$5:$J$91,9,FALSE)="","",VLOOKUP($D175,'Base produits'!$B$5:$J$91,9,FALSE)),""))</f>
        <v/>
      </c>
      <c r="H175" s="32" t="n"/>
      <c r="I175" s="21">
        <f>IF(OR($D175="",$F175="",$G175=""),"",$F175*$G175*(1-IFERROR($H175,0)))</f>
        <v/>
      </c>
      <c r="J175" s="21">
        <f>IF(OR($D175="",$F175="",$G175=""),"",($G175-IFERROR(VLOOKUP($D175,'Base produits'!$B$5:$H$91,7,FALSE),0))*$F175*(1-IFERROR($H175,0)))</f>
        <v/>
      </c>
      <c r="K175" s="23" t="n"/>
      <c r="L175" s="29" t="n"/>
    </row>
    <row r="176" ht="23" customHeight="1">
      <c r="A176" s="30" t="n"/>
      <c r="B176" s="23" t="n"/>
      <c r="C176" s="29" t="n"/>
      <c r="D176" s="23" t="n"/>
      <c r="E176" s="31">
        <f>IF($D176="","",IFERROR(VLOOKUP($D176,'Base produits'!$B$5:$F$91,5,FALSE),""))</f>
        <v/>
      </c>
      <c r="F176" s="23" t="n"/>
      <c r="G176" s="21">
        <f>IF($D176="","",IFERROR(IF(VLOOKUP($D176,'Base produits'!$B$5:$J$91,9,FALSE)="","",VLOOKUP($D176,'Base produits'!$B$5:$J$91,9,FALSE)),""))</f>
        <v/>
      </c>
      <c r="H176" s="32" t="n"/>
      <c r="I176" s="21">
        <f>IF(OR($D176="",$F176="",$G176=""),"",$F176*$G176*(1-IFERROR($H176,0)))</f>
        <v/>
      </c>
      <c r="J176" s="21">
        <f>IF(OR($D176="",$F176="",$G176=""),"",($G176-IFERROR(VLOOKUP($D176,'Base produits'!$B$5:$H$91,7,FALSE),0))*$F176*(1-IFERROR($H176,0)))</f>
        <v/>
      </c>
      <c r="K176" s="23" t="n"/>
      <c r="L176" s="29" t="n"/>
    </row>
    <row r="177" ht="23" customHeight="1">
      <c r="A177" s="30" t="n"/>
      <c r="B177" s="23" t="n"/>
      <c r="C177" s="29" t="n"/>
      <c r="D177" s="23" t="n"/>
      <c r="E177" s="31">
        <f>IF($D177="","",IFERROR(VLOOKUP($D177,'Base produits'!$B$5:$F$91,5,FALSE),""))</f>
        <v/>
      </c>
      <c r="F177" s="23" t="n"/>
      <c r="G177" s="21">
        <f>IF($D177="","",IFERROR(IF(VLOOKUP($D177,'Base produits'!$B$5:$J$91,9,FALSE)="","",VLOOKUP($D177,'Base produits'!$B$5:$J$91,9,FALSE)),""))</f>
        <v/>
      </c>
      <c r="H177" s="32" t="n"/>
      <c r="I177" s="21">
        <f>IF(OR($D177="",$F177="",$G177=""),"",$F177*$G177*(1-IFERROR($H177,0)))</f>
        <v/>
      </c>
      <c r="J177" s="21">
        <f>IF(OR($D177="",$F177="",$G177=""),"",($G177-IFERROR(VLOOKUP($D177,'Base produits'!$B$5:$H$91,7,FALSE),0))*$F177*(1-IFERROR($H177,0)))</f>
        <v/>
      </c>
      <c r="K177" s="23" t="n"/>
      <c r="L177" s="29" t="n"/>
    </row>
    <row r="178" ht="23" customHeight="1">
      <c r="A178" s="30" t="n"/>
      <c r="B178" s="23" t="n"/>
      <c r="C178" s="29" t="n"/>
      <c r="D178" s="23" t="n"/>
      <c r="E178" s="31">
        <f>IF($D178="","",IFERROR(VLOOKUP($D178,'Base produits'!$B$5:$F$91,5,FALSE),""))</f>
        <v/>
      </c>
      <c r="F178" s="23" t="n"/>
      <c r="G178" s="21">
        <f>IF($D178="","",IFERROR(IF(VLOOKUP($D178,'Base produits'!$B$5:$J$91,9,FALSE)="","",VLOOKUP($D178,'Base produits'!$B$5:$J$91,9,FALSE)),""))</f>
        <v/>
      </c>
      <c r="H178" s="32" t="n"/>
      <c r="I178" s="21">
        <f>IF(OR($D178="",$F178="",$G178=""),"",$F178*$G178*(1-IFERROR($H178,0)))</f>
        <v/>
      </c>
      <c r="J178" s="21">
        <f>IF(OR($D178="",$F178="",$G178=""),"",($G178-IFERROR(VLOOKUP($D178,'Base produits'!$B$5:$H$91,7,FALSE),0))*$F178*(1-IFERROR($H178,0)))</f>
        <v/>
      </c>
      <c r="K178" s="23" t="n"/>
      <c r="L178" s="29" t="n"/>
    </row>
    <row r="179" ht="23" customHeight="1">
      <c r="A179" s="30" t="n"/>
      <c r="B179" s="23" t="n"/>
      <c r="C179" s="29" t="n"/>
      <c r="D179" s="23" t="n"/>
      <c r="E179" s="31">
        <f>IF($D179="","",IFERROR(VLOOKUP($D179,'Base produits'!$B$5:$F$91,5,FALSE),""))</f>
        <v/>
      </c>
      <c r="F179" s="23" t="n"/>
      <c r="G179" s="21">
        <f>IF($D179="","",IFERROR(IF(VLOOKUP($D179,'Base produits'!$B$5:$J$91,9,FALSE)="","",VLOOKUP($D179,'Base produits'!$B$5:$J$91,9,FALSE)),""))</f>
        <v/>
      </c>
      <c r="H179" s="32" t="n"/>
      <c r="I179" s="21">
        <f>IF(OR($D179="",$F179="",$G179=""),"",$F179*$G179*(1-IFERROR($H179,0)))</f>
        <v/>
      </c>
      <c r="J179" s="21">
        <f>IF(OR($D179="",$F179="",$G179=""),"",($G179-IFERROR(VLOOKUP($D179,'Base produits'!$B$5:$H$91,7,FALSE),0))*$F179*(1-IFERROR($H179,0)))</f>
        <v/>
      </c>
      <c r="K179" s="23" t="n"/>
      <c r="L179" s="29" t="n"/>
    </row>
    <row r="180" ht="23" customHeight="1">
      <c r="A180" s="30" t="n"/>
      <c r="B180" s="23" t="n"/>
      <c r="C180" s="29" t="n"/>
      <c r="D180" s="23" t="n"/>
      <c r="E180" s="31">
        <f>IF($D180="","",IFERROR(VLOOKUP($D180,'Base produits'!$B$5:$F$91,5,FALSE),""))</f>
        <v/>
      </c>
      <c r="F180" s="23" t="n"/>
      <c r="G180" s="21">
        <f>IF($D180="","",IFERROR(IF(VLOOKUP($D180,'Base produits'!$B$5:$J$91,9,FALSE)="","",VLOOKUP($D180,'Base produits'!$B$5:$J$91,9,FALSE)),""))</f>
        <v/>
      </c>
      <c r="H180" s="32" t="n"/>
      <c r="I180" s="21">
        <f>IF(OR($D180="",$F180="",$G180=""),"",$F180*$G180*(1-IFERROR($H180,0)))</f>
        <v/>
      </c>
      <c r="J180" s="21">
        <f>IF(OR($D180="",$F180="",$G180=""),"",($G180-IFERROR(VLOOKUP($D180,'Base produits'!$B$5:$H$91,7,FALSE),0))*$F180*(1-IFERROR($H180,0)))</f>
        <v/>
      </c>
      <c r="K180" s="23" t="n"/>
      <c r="L180" s="29" t="n"/>
    </row>
    <row r="181" ht="23" customHeight="1">
      <c r="A181" s="30" t="n"/>
      <c r="B181" s="23" t="n"/>
      <c r="C181" s="29" t="n"/>
      <c r="D181" s="23" t="n"/>
      <c r="E181" s="31">
        <f>IF($D181="","",IFERROR(VLOOKUP($D181,'Base produits'!$B$5:$F$91,5,FALSE),""))</f>
        <v/>
      </c>
      <c r="F181" s="23" t="n"/>
      <c r="G181" s="21">
        <f>IF($D181="","",IFERROR(IF(VLOOKUP($D181,'Base produits'!$B$5:$J$91,9,FALSE)="","",VLOOKUP($D181,'Base produits'!$B$5:$J$91,9,FALSE)),""))</f>
        <v/>
      </c>
      <c r="H181" s="32" t="n"/>
      <c r="I181" s="21">
        <f>IF(OR($D181="",$F181="",$G181=""),"",$F181*$G181*(1-IFERROR($H181,0)))</f>
        <v/>
      </c>
      <c r="J181" s="21">
        <f>IF(OR($D181="",$F181="",$G181=""),"",($G181-IFERROR(VLOOKUP($D181,'Base produits'!$B$5:$H$91,7,FALSE),0))*$F181*(1-IFERROR($H181,0)))</f>
        <v/>
      </c>
      <c r="K181" s="23" t="n"/>
      <c r="L181" s="29" t="n"/>
    </row>
    <row r="182" ht="23" customHeight="1">
      <c r="A182" s="30" t="n"/>
      <c r="B182" s="23" t="n"/>
      <c r="C182" s="29" t="n"/>
      <c r="D182" s="23" t="n"/>
      <c r="E182" s="31">
        <f>IF($D182="","",IFERROR(VLOOKUP($D182,'Base produits'!$B$5:$F$91,5,FALSE),""))</f>
        <v/>
      </c>
      <c r="F182" s="23" t="n"/>
      <c r="G182" s="21">
        <f>IF($D182="","",IFERROR(IF(VLOOKUP($D182,'Base produits'!$B$5:$J$91,9,FALSE)="","",VLOOKUP($D182,'Base produits'!$B$5:$J$91,9,FALSE)),""))</f>
        <v/>
      </c>
      <c r="H182" s="32" t="n"/>
      <c r="I182" s="21">
        <f>IF(OR($D182="",$F182="",$G182=""),"",$F182*$G182*(1-IFERROR($H182,0)))</f>
        <v/>
      </c>
      <c r="J182" s="21">
        <f>IF(OR($D182="",$F182="",$G182=""),"",($G182-IFERROR(VLOOKUP($D182,'Base produits'!$B$5:$H$91,7,FALSE),0))*$F182*(1-IFERROR($H182,0)))</f>
        <v/>
      </c>
      <c r="K182" s="23" t="n"/>
      <c r="L182" s="29" t="n"/>
    </row>
    <row r="183" ht="23" customHeight="1">
      <c r="A183" s="30" t="n"/>
      <c r="B183" s="23" t="n"/>
      <c r="C183" s="29" t="n"/>
      <c r="D183" s="23" t="n"/>
      <c r="E183" s="31">
        <f>IF($D183="","",IFERROR(VLOOKUP($D183,'Base produits'!$B$5:$F$91,5,FALSE),""))</f>
        <v/>
      </c>
      <c r="F183" s="23" t="n"/>
      <c r="G183" s="21">
        <f>IF($D183="","",IFERROR(IF(VLOOKUP($D183,'Base produits'!$B$5:$J$91,9,FALSE)="","",VLOOKUP($D183,'Base produits'!$B$5:$J$91,9,FALSE)),""))</f>
        <v/>
      </c>
      <c r="H183" s="32" t="n"/>
      <c r="I183" s="21">
        <f>IF(OR($D183="",$F183="",$G183=""),"",$F183*$G183*(1-IFERROR($H183,0)))</f>
        <v/>
      </c>
      <c r="J183" s="21">
        <f>IF(OR($D183="",$F183="",$G183=""),"",($G183-IFERROR(VLOOKUP($D183,'Base produits'!$B$5:$H$91,7,FALSE),0))*$F183*(1-IFERROR($H183,0)))</f>
        <v/>
      </c>
      <c r="K183" s="23" t="n"/>
      <c r="L183" s="29" t="n"/>
    </row>
    <row r="184" ht="23" customHeight="1">
      <c r="A184" s="30" t="n"/>
      <c r="B184" s="23" t="n"/>
      <c r="C184" s="29" t="n"/>
      <c r="D184" s="23" t="n"/>
      <c r="E184" s="31">
        <f>IF($D184="","",IFERROR(VLOOKUP($D184,'Base produits'!$B$5:$F$91,5,FALSE),""))</f>
        <v/>
      </c>
      <c r="F184" s="23" t="n"/>
      <c r="G184" s="21">
        <f>IF($D184="","",IFERROR(IF(VLOOKUP($D184,'Base produits'!$B$5:$J$91,9,FALSE)="","",VLOOKUP($D184,'Base produits'!$B$5:$J$91,9,FALSE)),""))</f>
        <v/>
      </c>
      <c r="H184" s="32" t="n"/>
      <c r="I184" s="21">
        <f>IF(OR($D184="",$F184="",$G184=""),"",$F184*$G184*(1-IFERROR($H184,0)))</f>
        <v/>
      </c>
      <c r="J184" s="21">
        <f>IF(OR($D184="",$F184="",$G184=""),"",($G184-IFERROR(VLOOKUP($D184,'Base produits'!$B$5:$H$91,7,FALSE),0))*$F184*(1-IFERROR($H184,0)))</f>
        <v/>
      </c>
      <c r="K184" s="23" t="n"/>
      <c r="L184" s="29" t="n"/>
    </row>
    <row r="185" ht="23" customHeight="1">
      <c r="A185" s="30" t="n"/>
      <c r="B185" s="23" t="n"/>
      <c r="C185" s="29" t="n"/>
      <c r="D185" s="23" t="n"/>
      <c r="E185" s="31">
        <f>IF($D185="","",IFERROR(VLOOKUP($D185,'Base produits'!$B$5:$F$91,5,FALSE),""))</f>
        <v/>
      </c>
      <c r="F185" s="23" t="n"/>
      <c r="G185" s="21">
        <f>IF($D185="","",IFERROR(IF(VLOOKUP($D185,'Base produits'!$B$5:$J$91,9,FALSE)="","",VLOOKUP($D185,'Base produits'!$B$5:$J$91,9,FALSE)),""))</f>
        <v/>
      </c>
      <c r="H185" s="32" t="n"/>
      <c r="I185" s="21">
        <f>IF(OR($D185="",$F185="",$G185=""),"",$F185*$G185*(1-IFERROR($H185,0)))</f>
        <v/>
      </c>
      <c r="J185" s="21">
        <f>IF(OR($D185="",$F185="",$G185=""),"",($G185-IFERROR(VLOOKUP($D185,'Base produits'!$B$5:$H$91,7,FALSE),0))*$F185*(1-IFERROR($H185,0)))</f>
        <v/>
      </c>
      <c r="K185" s="23" t="n"/>
      <c r="L185" s="29" t="n"/>
    </row>
    <row r="186" ht="23" customHeight="1">
      <c r="A186" s="30" t="n"/>
      <c r="B186" s="23" t="n"/>
      <c r="C186" s="29" t="n"/>
      <c r="D186" s="23" t="n"/>
      <c r="E186" s="31">
        <f>IF($D186="","",IFERROR(VLOOKUP($D186,'Base produits'!$B$5:$F$91,5,FALSE),""))</f>
        <v/>
      </c>
      <c r="F186" s="23" t="n"/>
      <c r="G186" s="21">
        <f>IF($D186="","",IFERROR(IF(VLOOKUP($D186,'Base produits'!$B$5:$J$91,9,FALSE)="","",VLOOKUP($D186,'Base produits'!$B$5:$J$91,9,FALSE)),""))</f>
        <v/>
      </c>
      <c r="H186" s="32" t="n"/>
      <c r="I186" s="21">
        <f>IF(OR($D186="",$F186="",$G186=""),"",$F186*$G186*(1-IFERROR($H186,0)))</f>
        <v/>
      </c>
      <c r="J186" s="21">
        <f>IF(OR($D186="",$F186="",$G186=""),"",($G186-IFERROR(VLOOKUP($D186,'Base produits'!$B$5:$H$91,7,FALSE),0))*$F186*(1-IFERROR($H186,0)))</f>
        <v/>
      </c>
      <c r="K186" s="23" t="n"/>
      <c r="L186" s="29" t="n"/>
    </row>
    <row r="187" ht="23" customHeight="1">
      <c r="A187" s="30" t="n"/>
      <c r="B187" s="23" t="n"/>
      <c r="C187" s="29" t="n"/>
      <c r="D187" s="23" t="n"/>
      <c r="E187" s="31">
        <f>IF($D187="","",IFERROR(VLOOKUP($D187,'Base produits'!$B$5:$F$91,5,FALSE),""))</f>
        <v/>
      </c>
      <c r="F187" s="23" t="n"/>
      <c r="G187" s="21">
        <f>IF($D187="","",IFERROR(IF(VLOOKUP($D187,'Base produits'!$B$5:$J$91,9,FALSE)="","",VLOOKUP($D187,'Base produits'!$B$5:$J$91,9,FALSE)),""))</f>
        <v/>
      </c>
      <c r="H187" s="32" t="n"/>
      <c r="I187" s="21">
        <f>IF(OR($D187="",$F187="",$G187=""),"",$F187*$G187*(1-IFERROR($H187,0)))</f>
        <v/>
      </c>
      <c r="J187" s="21">
        <f>IF(OR($D187="",$F187="",$G187=""),"",($G187-IFERROR(VLOOKUP($D187,'Base produits'!$B$5:$H$91,7,FALSE),0))*$F187*(1-IFERROR($H187,0)))</f>
        <v/>
      </c>
      <c r="K187" s="23" t="n"/>
      <c r="L187" s="29" t="n"/>
    </row>
    <row r="188" ht="23" customHeight="1">
      <c r="A188" s="30" t="n"/>
      <c r="B188" s="23" t="n"/>
      <c r="C188" s="29" t="n"/>
      <c r="D188" s="23" t="n"/>
      <c r="E188" s="31">
        <f>IF($D188="","",IFERROR(VLOOKUP($D188,'Base produits'!$B$5:$F$91,5,FALSE),""))</f>
        <v/>
      </c>
      <c r="F188" s="23" t="n"/>
      <c r="G188" s="21">
        <f>IF($D188="","",IFERROR(IF(VLOOKUP($D188,'Base produits'!$B$5:$J$91,9,FALSE)="","",VLOOKUP($D188,'Base produits'!$B$5:$J$91,9,FALSE)),""))</f>
        <v/>
      </c>
      <c r="H188" s="32" t="n"/>
      <c r="I188" s="21">
        <f>IF(OR($D188="",$F188="",$G188=""),"",$F188*$G188*(1-IFERROR($H188,0)))</f>
        <v/>
      </c>
      <c r="J188" s="21">
        <f>IF(OR($D188="",$F188="",$G188=""),"",($G188-IFERROR(VLOOKUP($D188,'Base produits'!$B$5:$H$91,7,FALSE),0))*$F188*(1-IFERROR($H188,0)))</f>
        <v/>
      </c>
      <c r="K188" s="23" t="n"/>
      <c r="L188" s="29" t="n"/>
    </row>
    <row r="189" ht="23" customHeight="1">
      <c r="A189" s="30" t="n"/>
      <c r="B189" s="23" t="n"/>
      <c r="C189" s="29" t="n"/>
      <c r="D189" s="23" t="n"/>
      <c r="E189" s="31">
        <f>IF($D189="","",IFERROR(VLOOKUP($D189,'Base produits'!$B$5:$F$91,5,FALSE),""))</f>
        <v/>
      </c>
      <c r="F189" s="23" t="n"/>
      <c r="G189" s="21">
        <f>IF($D189="","",IFERROR(IF(VLOOKUP($D189,'Base produits'!$B$5:$J$91,9,FALSE)="","",VLOOKUP($D189,'Base produits'!$B$5:$J$91,9,FALSE)),""))</f>
        <v/>
      </c>
      <c r="H189" s="32" t="n"/>
      <c r="I189" s="21">
        <f>IF(OR($D189="",$F189="",$G189=""),"",$F189*$G189*(1-IFERROR($H189,0)))</f>
        <v/>
      </c>
      <c r="J189" s="21">
        <f>IF(OR($D189="",$F189="",$G189=""),"",($G189-IFERROR(VLOOKUP($D189,'Base produits'!$B$5:$H$91,7,FALSE),0))*$F189*(1-IFERROR($H189,0)))</f>
        <v/>
      </c>
      <c r="K189" s="23" t="n"/>
      <c r="L189" s="29" t="n"/>
    </row>
    <row r="190" ht="23" customHeight="1">
      <c r="A190" s="30" t="n"/>
      <c r="B190" s="23" t="n"/>
      <c r="C190" s="29" t="n"/>
      <c r="D190" s="23" t="n"/>
      <c r="E190" s="31">
        <f>IF($D190="","",IFERROR(VLOOKUP($D190,'Base produits'!$B$5:$F$91,5,FALSE),""))</f>
        <v/>
      </c>
      <c r="F190" s="23" t="n"/>
      <c r="G190" s="21">
        <f>IF($D190="","",IFERROR(IF(VLOOKUP($D190,'Base produits'!$B$5:$J$91,9,FALSE)="","",VLOOKUP($D190,'Base produits'!$B$5:$J$91,9,FALSE)),""))</f>
        <v/>
      </c>
      <c r="H190" s="32" t="n"/>
      <c r="I190" s="21">
        <f>IF(OR($D190="",$F190="",$G190=""),"",$F190*$G190*(1-IFERROR($H190,0)))</f>
        <v/>
      </c>
      <c r="J190" s="21">
        <f>IF(OR($D190="",$F190="",$G190=""),"",($G190-IFERROR(VLOOKUP($D190,'Base produits'!$B$5:$H$91,7,FALSE),0))*$F190*(1-IFERROR($H190,0)))</f>
        <v/>
      </c>
      <c r="K190" s="23" t="n"/>
      <c r="L190" s="29" t="n"/>
    </row>
    <row r="191" ht="23" customHeight="1">
      <c r="A191" s="30" t="n"/>
      <c r="B191" s="23" t="n"/>
      <c r="C191" s="29" t="n"/>
      <c r="D191" s="23" t="n"/>
      <c r="E191" s="31">
        <f>IF($D191="","",IFERROR(VLOOKUP($D191,'Base produits'!$B$5:$F$91,5,FALSE),""))</f>
        <v/>
      </c>
      <c r="F191" s="23" t="n"/>
      <c r="G191" s="21">
        <f>IF($D191="","",IFERROR(IF(VLOOKUP($D191,'Base produits'!$B$5:$J$91,9,FALSE)="","",VLOOKUP($D191,'Base produits'!$B$5:$J$91,9,FALSE)),""))</f>
        <v/>
      </c>
      <c r="H191" s="32" t="n"/>
      <c r="I191" s="21">
        <f>IF(OR($D191="",$F191="",$G191=""),"",$F191*$G191*(1-IFERROR($H191,0)))</f>
        <v/>
      </c>
      <c r="J191" s="21">
        <f>IF(OR($D191="",$F191="",$G191=""),"",($G191-IFERROR(VLOOKUP($D191,'Base produits'!$B$5:$H$91,7,FALSE),0))*$F191*(1-IFERROR($H191,0)))</f>
        <v/>
      </c>
      <c r="K191" s="23" t="n"/>
      <c r="L191" s="29" t="n"/>
    </row>
    <row r="192" ht="23" customHeight="1">
      <c r="A192" s="30" t="n"/>
      <c r="B192" s="23" t="n"/>
      <c r="C192" s="29" t="n"/>
      <c r="D192" s="23" t="n"/>
      <c r="E192" s="31">
        <f>IF($D192="","",IFERROR(VLOOKUP($D192,'Base produits'!$B$5:$F$91,5,FALSE),""))</f>
        <v/>
      </c>
      <c r="F192" s="23" t="n"/>
      <c r="G192" s="21">
        <f>IF($D192="","",IFERROR(IF(VLOOKUP($D192,'Base produits'!$B$5:$J$91,9,FALSE)="","",VLOOKUP($D192,'Base produits'!$B$5:$J$91,9,FALSE)),""))</f>
        <v/>
      </c>
      <c r="H192" s="32" t="n"/>
      <c r="I192" s="21">
        <f>IF(OR($D192="",$F192="",$G192=""),"",$F192*$G192*(1-IFERROR($H192,0)))</f>
        <v/>
      </c>
      <c r="J192" s="21">
        <f>IF(OR($D192="",$F192="",$G192=""),"",($G192-IFERROR(VLOOKUP($D192,'Base produits'!$B$5:$H$91,7,FALSE),0))*$F192*(1-IFERROR($H192,0)))</f>
        <v/>
      </c>
      <c r="K192" s="23" t="n"/>
      <c r="L192" s="29" t="n"/>
    </row>
    <row r="193" ht="23" customHeight="1">
      <c r="A193" s="30" t="n"/>
      <c r="B193" s="23" t="n"/>
      <c r="C193" s="29" t="n"/>
      <c r="D193" s="23" t="n"/>
      <c r="E193" s="31">
        <f>IF($D193="","",IFERROR(VLOOKUP($D193,'Base produits'!$B$5:$F$91,5,FALSE),""))</f>
        <v/>
      </c>
      <c r="F193" s="23" t="n"/>
      <c r="G193" s="21">
        <f>IF($D193="","",IFERROR(IF(VLOOKUP($D193,'Base produits'!$B$5:$J$91,9,FALSE)="","",VLOOKUP($D193,'Base produits'!$B$5:$J$91,9,FALSE)),""))</f>
        <v/>
      </c>
      <c r="H193" s="32" t="n"/>
      <c r="I193" s="21">
        <f>IF(OR($D193="",$F193="",$G193=""),"",$F193*$G193*(1-IFERROR($H193,0)))</f>
        <v/>
      </c>
      <c r="J193" s="21">
        <f>IF(OR($D193="",$F193="",$G193=""),"",($G193-IFERROR(VLOOKUP($D193,'Base produits'!$B$5:$H$91,7,FALSE),0))*$F193*(1-IFERROR($H193,0)))</f>
        <v/>
      </c>
      <c r="K193" s="23" t="n"/>
      <c r="L193" s="29" t="n"/>
    </row>
    <row r="194" ht="23" customHeight="1">
      <c r="A194" s="30" t="n"/>
      <c r="B194" s="23" t="n"/>
      <c r="C194" s="29" t="n"/>
      <c r="D194" s="23" t="n"/>
      <c r="E194" s="31">
        <f>IF($D194="","",IFERROR(VLOOKUP($D194,'Base produits'!$B$5:$F$91,5,FALSE),""))</f>
        <v/>
      </c>
      <c r="F194" s="23" t="n"/>
      <c r="G194" s="21">
        <f>IF($D194="","",IFERROR(IF(VLOOKUP($D194,'Base produits'!$B$5:$J$91,9,FALSE)="","",VLOOKUP($D194,'Base produits'!$B$5:$J$91,9,FALSE)),""))</f>
        <v/>
      </c>
      <c r="H194" s="32" t="n"/>
      <c r="I194" s="21">
        <f>IF(OR($D194="",$F194="",$G194=""),"",$F194*$G194*(1-IFERROR($H194,0)))</f>
        <v/>
      </c>
      <c r="J194" s="21">
        <f>IF(OR($D194="",$F194="",$G194=""),"",($G194-IFERROR(VLOOKUP($D194,'Base produits'!$B$5:$H$91,7,FALSE),0))*$F194*(1-IFERROR($H194,0)))</f>
        <v/>
      </c>
      <c r="K194" s="23" t="n"/>
      <c r="L194" s="29" t="n"/>
    </row>
    <row r="195" ht="23" customHeight="1">
      <c r="A195" s="30" t="n"/>
      <c r="B195" s="23" t="n"/>
      <c r="C195" s="29" t="n"/>
      <c r="D195" s="23" t="n"/>
      <c r="E195" s="31">
        <f>IF($D195="","",IFERROR(VLOOKUP($D195,'Base produits'!$B$5:$F$91,5,FALSE),""))</f>
        <v/>
      </c>
      <c r="F195" s="23" t="n"/>
      <c r="G195" s="21">
        <f>IF($D195="","",IFERROR(IF(VLOOKUP($D195,'Base produits'!$B$5:$J$91,9,FALSE)="","",VLOOKUP($D195,'Base produits'!$B$5:$J$91,9,FALSE)),""))</f>
        <v/>
      </c>
      <c r="H195" s="32" t="n"/>
      <c r="I195" s="21">
        <f>IF(OR($D195="",$F195="",$G195=""),"",$F195*$G195*(1-IFERROR($H195,0)))</f>
        <v/>
      </c>
      <c r="J195" s="21">
        <f>IF(OR($D195="",$F195="",$G195=""),"",($G195-IFERROR(VLOOKUP($D195,'Base produits'!$B$5:$H$91,7,FALSE),0))*$F195*(1-IFERROR($H195,0)))</f>
        <v/>
      </c>
      <c r="K195" s="23" t="n"/>
      <c r="L195" s="29" t="n"/>
    </row>
    <row r="196" ht="23" customHeight="1">
      <c r="A196" s="30" t="n"/>
      <c r="B196" s="23" t="n"/>
      <c r="C196" s="29" t="n"/>
      <c r="D196" s="23" t="n"/>
      <c r="E196" s="31">
        <f>IF($D196="","",IFERROR(VLOOKUP($D196,'Base produits'!$B$5:$F$91,5,FALSE),""))</f>
        <v/>
      </c>
      <c r="F196" s="23" t="n"/>
      <c r="G196" s="21">
        <f>IF($D196="","",IFERROR(IF(VLOOKUP($D196,'Base produits'!$B$5:$J$91,9,FALSE)="","",VLOOKUP($D196,'Base produits'!$B$5:$J$91,9,FALSE)),""))</f>
        <v/>
      </c>
      <c r="H196" s="32" t="n"/>
      <c r="I196" s="21">
        <f>IF(OR($D196="",$F196="",$G196=""),"",$F196*$G196*(1-IFERROR($H196,0)))</f>
        <v/>
      </c>
      <c r="J196" s="21">
        <f>IF(OR($D196="",$F196="",$G196=""),"",($G196-IFERROR(VLOOKUP($D196,'Base produits'!$B$5:$H$91,7,FALSE),0))*$F196*(1-IFERROR($H196,0)))</f>
        <v/>
      </c>
      <c r="K196" s="23" t="n"/>
      <c r="L196" s="29" t="n"/>
    </row>
    <row r="197" ht="23" customHeight="1">
      <c r="A197" s="30" t="n"/>
      <c r="B197" s="23" t="n"/>
      <c r="C197" s="29" t="n"/>
      <c r="D197" s="23" t="n"/>
      <c r="E197" s="31">
        <f>IF($D197="","",IFERROR(VLOOKUP($D197,'Base produits'!$B$5:$F$91,5,FALSE),""))</f>
        <v/>
      </c>
      <c r="F197" s="23" t="n"/>
      <c r="G197" s="21">
        <f>IF($D197="","",IFERROR(IF(VLOOKUP($D197,'Base produits'!$B$5:$J$91,9,FALSE)="","",VLOOKUP($D197,'Base produits'!$B$5:$J$91,9,FALSE)),""))</f>
        <v/>
      </c>
      <c r="H197" s="32" t="n"/>
      <c r="I197" s="21">
        <f>IF(OR($D197="",$F197="",$G197=""),"",$F197*$G197*(1-IFERROR($H197,0)))</f>
        <v/>
      </c>
      <c r="J197" s="21">
        <f>IF(OR($D197="",$F197="",$G197=""),"",($G197-IFERROR(VLOOKUP($D197,'Base produits'!$B$5:$H$91,7,FALSE),0))*$F197*(1-IFERROR($H197,0)))</f>
        <v/>
      </c>
      <c r="K197" s="23" t="n"/>
      <c r="L197" s="29" t="n"/>
    </row>
    <row r="198" ht="23" customHeight="1">
      <c r="A198" s="30" t="n"/>
      <c r="B198" s="23" t="n"/>
      <c r="C198" s="29" t="n"/>
      <c r="D198" s="23" t="n"/>
      <c r="E198" s="31">
        <f>IF($D198="","",IFERROR(VLOOKUP($D198,'Base produits'!$B$5:$F$91,5,FALSE),""))</f>
        <v/>
      </c>
      <c r="F198" s="23" t="n"/>
      <c r="G198" s="21">
        <f>IF($D198="","",IFERROR(IF(VLOOKUP($D198,'Base produits'!$B$5:$J$91,9,FALSE)="","",VLOOKUP($D198,'Base produits'!$B$5:$J$91,9,FALSE)),""))</f>
        <v/>
      </c>
      <c r="H198" s="32" t="n"/>
      <c r="I198" s="21">
        <f>IF(OR($D198="",$F198="",$G198=""),"",$F198*$G198*(1-IFERROR($H198,0)))</f>
        <v/>
      </c>
      <c r="J198" s="21">
        <f>IF(OR($D198="",$F198="",$G198=""),"",($G198-IFERROR(VLOOKUP($D198,'Base produits'!$B$5:$H$91,7,FALSE),0))*$F198*(1-IFERROR($H198,0)))</f>
        <v/>
      </c>
      <c r="K198" s="23" t="n"/>
      <c r="L198" s="29" t="n"/>
    </row>
    <row r="199" ht="23" customHeight="1">
      <c r="A199" s="30" t="n"/>
      <c r="B199" s="23" t="n"/>
      <c r="C199" s="29" t="n"/>
      <c r="D199" s="23" t="n"/>
      <c r="E199" s="31">
        <f>IF($D199="","",IFERROR(VLOOKUP($D199,'Base produits'!$B$5:$F$91,5,FALSE),""))</f>
        <v/>
      </c>
      <c r="F199" s="23" t="n"/>
      <c r="G199" s="21">
        <f>IF($D199="","",IFERROR(IF(VLOOKUP($D199,'Base produits'!$B$5:$J$91,9,FALSE)="","",VLOOKUP($D199,'Base produits'!$B$5:$J$91,9,FALSE)),""))</f>
        <v/>
      </c>
      <c r="H199" s="32" t="n"/>
      <c r="I199" s="21">
        <f>IF(OR($D199="",$F199="",$G199=""),"",$F199*$G199*(1-IFERROR($H199,0)))</f>
        <v/>
      </c>
      <c r="J199" s="21">
        <f>IF(OR($D199="",$F199="",$G199=""),"",($G199-IFERROR(VLOOKUP($D199,'Base produits'!$B$5:$H$91,7,FALSE),0))*$F199*(1-IFERROR($H199,0)))</f>
        <v/>
      </c>
      <c r="K199" s="23" t="n"/>
      <c r="L199" s="29" t="n"/>
    </row>
    <row r="200" ht="23" customHeight="1">
      <c r="A200" s="30" t="n"/>
      <c r="B200" s="23" t="n"/>
      <c r="C200" s="29" t="n"/>
      <c r="D200" s="23" t="n"/>
      <c r="E200" s="31">
        <f>IF($D200="","",IFERROR(VLOOKUP($D200,'Base produits'!$B$5:$F$91,5,FALSE),""))</f>
        <v/>
      </c>
      <c r="F200" s="23" t="n"/>
      <c r="G200" s="21">
        <f>IF($D200="","",IFERROR(IF(VLOOKUP($D200,'Base produits'!$B$5:$J$91,9,FALSE)="","",VLOOKUP($D200,'Base produits'!$B$5:$J$91,9,FALSE)),""))</f>
        <v/>
      </c>
      <c r="H200" s="32" t="n"/>
      <c r="I200" s="21">
        <f>IF(OR($D200="",$F200="",$G200=""),"",$F200*$G200*(1-IFERROR($H200,0)))</f>
        <v/>
      </c>
      <c r="J200" s="21">
        <f>IF(OR($D200="",$F200="",$G200=""),"",($G200-IFERROR(VLOOKUP($D200,'Base produits'!$B$5:$H$91,7,FALSE),0))*$F200*(1-IFERROR($H200,0)))</f>
        <v/>
      </c>
      <c r="K200" s="23" t="n"/>
      <c r="L200" s="29" t="n"/>
    </row>
    <row r="201" ht="23" customHeight="1">
      <c r="A201" s="30" t="n"/>
      <c r="B201" s="23" t="n"/>
      <c r="C201" s="29" t="n"/>
      <c r="D201" s="23" t="n"/>
      <c r="E201" s="31">
        <f>IF($D201="","",IFERROR(VLOOKUP($D201,'Base produits'!$B$5:$F$91,5,FALSE),""))</f>
        <v/>
      </c>
      <c r="F201" s="23" t="n"/>
      <c r="G201" s="21">
        <f>IF($D201="","",IFERROR(IF(VLOOKUP($D201,'Base produits'!$B$5:$J$91,9,FALSE)="","",VLOOKUP($D201,'Base produits'!$B$5:$J$91,9,FALSE)),""))</f>
        <v/>
      </c>
      <c r="H201" s="32" t="n"/>
      <c r="I201" s="21">
        <f>IF(OR($D201="",$F201="",$G201=""),"",$F201*$G201*(1-IFERROR($H201,0)))</f>
        <v/>
      </c>
      <c r="J201" s="21">
        <f>IF(OR($D201="",$F201="",$G201=""),"",($G201-IFERROR(VLOOKUP($D201,'Base produits'!$B$5:$H$91,7,FALSE),0))*$F201*(1-IFERROR($H201,0)))</f>
        <v/>
      </c>
      <c r="K201" s="23" t="n"/>
      <c r="L201" s="29" t="n"/>
    </row>
    <row r="202" ht="23" customHeight="1">
      <c r="A202" s="30" t="n"/>
      <c r="B202" s="23" t="n"/>
      <c r="C202" s="29" t="n"/>
      <c r="D202" s="23" t="n"/>
      <c r="E202" s="31">
        <f>IF($D202="","",IFERROR(VLOOKUP($D202,'Base produits'!$B$5:$F$91,5,FALSE),""))</f>
        <v/>
      </c>
      <c r="F202" s="23" t="n"/>
      <c r="G202" s="21">
        <f>IF($D202="","",IFERROR(IF(VLOOKUP($D202,'Base produits'!$B$5:$J$91,9,FALSE)="","",VLOOKUP($D202,'Base produits'!$B$5:$J$91,9,FALSE)),""))</f>
        <v/>
      </c>
      <c r="H202" s="32" t="n"/>
      <c r="I202" s="21">
        <f>IF(OR($D202="",$F202="",$G202=""),"",$F202*$G202*(1-IFERROR($H202,0)))</f>
        <v/>
      </c>
      <c r="J202" s="21">
        <f>IF(OR($D202="",$F202="",$G202=""),"",($G202-IFERROR(VLOOKUP($D202,'Base produits'!$B$5:$H$91,7,FALSE),0))*$F202*(1-IFERROR($H202,0)))</f>
        <v/>
      </c>
      <c r="K202" s="23" t="n"/>
      <c r="L202" s="29" t="n"/>
    </row>
    <row r="203" ht="23" customHeight="1">
      <c r="A203" s="30" t="n"/>
      <c r="B203" s="23" t="n"/>
      <c r="C203" s="29" t="n"/>
      <c r="D203" s="23" t="n"/>
      <c r="E203" s="31">
        <f>IF($D203="","",IFERROR(VLOOKUP($D203,'Base produits'!$B$5:$F$91,5,FALSE),""))</f>
        <v/>
      </c>
      <c r="F203" s="23" t="n"/>
      <c r="G203" s="21">
        <f>IF($D203="","",IFERROR(IF(VLOOKUP($D203,'Base produits'!$B$5:$J$91,9,FALSE)="","",VLOOKUP($D203,'Base produits'!$B$5:$J$91,9,FALSE)),""))</f>
        <v/>
      </c>
      <c r="H203" s="32" t="n"/>
      <c r="I203" s="21">
        <f>IF(OR($D203="",$F203="",$G203=""),"",$F203*$G203*(1-IFERROR($H203,0)))</f>
        <v/>
      </c>
      <c r="J203" s="21">
        <f>IF(OR($D203="",$F203="",$G203=""),"",($G203-IFERROR(VLOOKUP($D203,'Base produits'!$B$5:$H$91,7,FALSE),0))*$F203*(1-IFERROR($H203,0)))</f>
        <v/>
      </c>
      <c r="K203" s="23" t="n"/>
      <c r="L203" s="29" t="n"/>
    </row>
    <row r="204" ht="23" customHeight="1">
      <c r="A204" s="30" t="n"/>
      <c r="B204" s="23" t="n"/>
      <c r="C204" s="29" t="n"/>
      <c r="D204" s="23" t="n"/>
      <c r="E204" s="31">
        <f>IF($D204="","",IFERROR(VLOOKUP($D204,'Base produits'!$B$5:$F$91,5,FALSE),""))</f>
        <v/>
      </c>
      <c r="F204" s="23" t="n"/>
      <c r="G204" s="21">
        <f>IF($D204="","",IFERROR(IF(VLOOKUP($D204,'Base produits'!$B$5:$J$91,9,FALSE)="","",VLOOKUP($D204,'Base produits'!$B$5:$J$91,9,FALSE)),""))</f>
        <v/>
      </c>
      <c r="H204" s="32" t="n"/>
      <c r="I204" s="21">
        <f>IF(OR($D204="",$F204="",$G204=""),"",$F204*$G204*(1-IFERROR($H204,0)))</f>
        <v/>
      </c>
      <c r="J204" s="21">
        <f>IF(OR($D204="",$F204="",$G204=""),"",($G204-IFERROR(VLOOKUP($D204,'Base produits'!$B$5:$H$91,7,FALSE),0))*$F204*(1-IFERROR($H204,0)))</f>
        <v/>
      </c>
      <c r="K204" s="23" t="n"/>
      <c r="L204" s="29" t="n"/>
    </row>
    <row r="205" ht="23" customHeight="1">
      <c r="A205" s="30" t="n"/>
      <c r="B205" s="23" t="n"/>
      <c r="C205" s="29" t="n"/>
      <c r="D205" s="23" t="n"/>
      <c r="E205" s="31">
        <f>IF($D205="","",IFERROR(VLOOKUP($D205,'Base produits'!$B$5:$F$91,5,FALSE),""))</f>
        <v/>
      </c>
      <c r="F205" s="23" t="n"/>
      <c r="G205" s="21">
        <f>IF($D205="","",IFERROR(IF(VLOOKUP($D205,'Base produits'!$B$5:$J$91,9,FALSE)="","",VLOOKUP($D205,'Base produits'!$B$5:$J$91,9,FALSE)),""))</f>
        <v/>
      </c>
      <c r="H205" s="32" t="n"/>
      <c r="I205" s="21">
        <f>IF(OR($D205="",$F205="",$G205=""),"",$F205*$G205*(1-IFERROR($H205,0)))</f>
        <v/>
      </c>
      <c r="J205" s="21">
        <f>IF(OR($D205="",$F205="",$G205=""),"",($G205-IFERROR(VLOOKUP($D205,'Base produits'!$B$5:$H$91,7,FALSE),0))*$F205*(1-IFERROR($H205,0)))</f>
        <v/>
      </c>
      <c r="K205" s="23" t="n"/>
      <c r="L205" s="29" t="n"/>
    </row>
    <row r="206" ht="23" customHeight="1">
      <c r="A206" s="30" t="n"/>
      <c r="B206" s="23" t="n"/>
      <c r="C206" s="29" t="n"/>
      <c r="D206" s="23" t="n"/>
      <c r="E206" s="31">
        <f>IF($D206="","",IFERROR(VLOOKUP($D206,'Base produits'!$B$5:$F$91,5,FALSE),""))</f>
        <v/>
      </c>
      <c r="F206" s="23" t="n"/>
      <c r="G206" s="21">
        <f>IF($D206="","",IFERROR(IF(VLOOKUP($D206,'Base produits'!$B$5:$J$91,9,FALSE)="","",VLOOKUP($D206,'Base produits'!$B$5:$J$91,9,FALSE)),""))</f>
        <v/>
      </c>
      <c r="H206" s="32" t="n"/>
      <c r="I206" s="21">
        <f>IF(OR($D206="",$F206="",$G206=""),"",$F206*$G206*(1-IFERROR($H206,0)))</f>
        <v/>
      </c>
      <c r="J206" s="21">
        <f>IF(OR($D206="",$F206="",$G206=""),"",($G206-IFERROR(VLOOKUP($D206,'Base produits'!$B$5:$H$91,7,FALSE),0))*$F206*(1-IFERROR($H206,0)))</f>
        <v/>
      </c>
      <c r="K206" s="23" t="n"/>
      <c r="L206" s="29" t="n"/>
    </row>
    <row r="207" ht="23" customHeight="1">
      <c r="A207" s="30" t="n"/>
      <c r="B207" s="23" t="n"/>
      <c r="C207" s="29" t="n"/>
      <c r="D207" s="23" t="n"/>
      <c r="E207" s="31">
        <f>IF($D207="","",IFERROR(VLOOKUP($D207,'Base produits'!$B$5:$F$91,5,FALSE),""))</f>
        <v/>
      </c>
      <c r="F207" s="23" t="n"/>
      <c r="G207" s="21">
        <f>IF($D207="","",IFERROR(IF(VLOOKUP($D207,'Base produits'!$B$5:$J$91,9,FALSE)="","",VLOOKUP($D207,'Base produits'!$B$5:$J$91,9,FALSE)),""))</f>
        <v/>
      </c>
      <c r="H207" s="32" t="n"/>
      <c r="I207" s="21">
        <f>IF(OR($D207="",$F207="",$G207=""),"",$F207*$G207*(1-IFERROR($H207,0)))</f>
        <v/>
      </c>
      <c r="J207" s="21">
        <f>IF(OR($D207="",$F207="",$G207=""),"",($G207-IFERROR(VLOOKUP($D207,'Base produits'!$B$5:$H$91,7,FALSE),0))*$F207*(1-IFERROR($H207,0)))</f>
        <v/>
      </c>
      <c r="K207" s="23" t="n"/>
      <c r="L207" s="29" t="n"/>
    </row>
    <row r="208" ht="23" customHeight="1">
      <c r="A208" s="30" t="n"/>
      <c r="B208" s="23" t="n"/>
      <c r="C208" s="29" t="n"/>
      <c r="D208" s="23" t="n"/>
      <c r="E208" s="31">
        <f>IF($D208="","",IFERROR(VLOOKUP($D208,'Base produits'!$B$5:$F$91,5,FALSE),""))</f>
        <v/>
      </c>
      <c r="F208" s="23" t="n"/>
      <c r="G208" s="21">
        <f>IF($D208="","",IFERROR(IF(VLOOKUP($D208,'Base produits'!$B$5:$J$91,9,FALSE)="","",VLOOKUP($D208,'Base produits'!$B$5:$J$91,9,FALSE)),""))</f>
        <v/>
      </c>
      <c r="H208" s="32" t="n"/>
      <c r="I208" s="21">
        <f>IF(OR($D208="",$F208="",$G208=""),"",$F208*$G208*(1-IFERROR($H208,0)))</f>
        <v/>
      </c>
      <c r="J208" s="21">
        <f>IF(OR($D208="",$F208="",$G208=""),"",($G208-IFERROR(VLOOKUP($D208,'Base produits'!$B$5:$H$91,7,FALSE),0))*$F208*(1-IFERROR($H208,0)))</f>
        <v/>
      </c>
      <c r="K208" s="23" t="n"/>
      <c r="L208" s="29" t="n"/>
    </row>
    <row r="209" ht="23" customHeight="1">
      <c r="A209" s="30" t="n"/>
      <c r="B209" s="23" t="n"/>
      <c r="C209" s="29" t="n"/>
      <c r="D209" s="23" t="n"/>
      <c r="E209" s="31">
        <f>IF($D209="","",IFERROR(VLOOKUP($D209,'Base produits'!$B$5:$F$91,5,FALSE),""))</f>
        <v/>
      </c>
      <c r="F209" s="23" t="n"/>
      <c r="G209" s="21">
        <f>IF($D209="","",IFERROR(IF(VLOOKUP($D209,'Base produits'!$B$5:$J$91,9,FALSE)="","",VLOOKUP($D209,'Base produits'!$B$5:$J$91,9,FALSE)),""))</f>
        <v/>
      </c>
      <c r="H209" s="32" t="n"/>
      <c r="I209" s="21">
        <f>IF(OR($D209="",$F209="",$G209=""),"",$F209*$G209*(1-IFERROR($H209,0)))</f>
        <v/>
      </c>
      <c r="J209" s="21">
        <f>IF(OR($D209="",$F209="",$G209=""),"",($G209-IFERROR(VLOOKUP($D209,'Base produits'!$B$5:$H$91,7,FALSE),0))*$F209*(1-IFERROR($H209,0)))</f>
        <v/>
      </c>
      <c r="K209" s="23" t="n"/>
      <c r="L209" s="29" t="n"/>
    </row>
    <row r="210" ht="23" customHeight="1">
      <c r="A210" s="30" t="n"/>
      <c r="B210" s="23" t="n"/>
      <c r="C210" s="29" t="n"/>
      <c r="D210" s="23" t="n"/>
      <c r="E210" s="31">
        <f>IF($D210="","",IFERROR(VLOOKUP($D210,'Base produits'!$B$5:$F$91,5,FALSE),""))</f>
        <v/>
      </c>
      <c r="F210" s="23" t="n"/>
      <c r="G210" s="21">
        <f>IF($D210="","",IFERROR(IF(VLOOKUP($D210,'Base produits'!$B$5:$J$91,9,FALSE)="","",VLOOKUP($D210,'Base produits'!$B$5:$J$91,9,FALSE)),""))</f>
        <v/>
      </c>
      <c r="H210" s="32" t="n"/>
      <c r="I210" s="21">
        <f>IF(OR($D210="",$F210="",$G210=""),"",$F210*$G210*(1-IFERROR($H210,0)))</f>
        <v/>
      </c>
      <c r="J210" s="21">
        <f>IF(OR($D210="",$F210="",$G210=""),"",($G210-IFERROR(VLOOKUP($D210,'Base produits'!$B$5:$H$91,7,FALSE),0))*$F210*(1-IFERROR($H210,0)))</f>
        <v/>
      </c>
      <c r="K210" s="23" t="n"/>
      <c r="L210" s="29" t="n"/>
    </row>
    <row r="211" ht="23" customHeight="1">
      <c r="A211" s="30" t="n"/>
      <c r="B211" s="23" t="n"/>
      <c r="C211" s="29" t="n"/>
      <c r="D211" s="23" t="n"/>
      <c r="E211" s="31">
        <f>IF($D211="","",IFERROR(VLOOKUP($D211,'Base produits'!$B$5:$F$91,5,FALSE),""))</f>
        <v/>
      </c>
      <c r="F211" s="23" t="n"/>
      <c r="G211" s="21">
        <f>IF($D211="","",IFERROR(IF(VLOOKUP($D211,'Base produits'!$B$5:$J$91,9,FALSE)="","",VLOOKUP($D211,'Base produits'!$B$5:$J$91,9,FALSE)),""))</f>
        <v/>
      </c>
      <c r="H211" s="32" t="n"/>
      <c r="I211" s="21">
        <f>IF(OR($D211="",$F211="",$G211=""),"",$F211*$G211*(1-IFERROR($H211,0)))</f>
        <v/>
      </c>
      <c r="J211" s="21">
        <f>IF(OR($D211="",$F211="",$G211=""),"",($G211-IFERROR(VLOOKUP($D211,'Base produits'!$B$5:$H$91,7,FALSE),0))*$F211*(1-IFERROR($H211,0)))</f>
        <v/>
      </c>
      <c r="K211" s="23" t="n"/>
      <c r="L211" s="29" t="n"/>
    </row>
    <row r="212" ht="23" customHeight="1">
      <c r="A212" s="30" t="n"/>
      <c r="B212" s="23" t="n"/>
      <c r="C212" s="29" t="n"/>
      <c r="D212" s="23" t="n"/>
      <c r="E212" s="31">
        <f>IF($D212="","",IFERROR(VLOOKUP($D212,'Base produits'!$B$5:$F$91,5,FALSE),""))</f>
        <v/>
      </c>
      <c r="F212" s="23" t="n"/>
      <c r="G212" s="21">
        <f>IF($D212="","",IFERROR(IF(VLOOKUP($D212,'Base produits'!$B$5:$J$91,9,FALSE)="","",VLOOKUP($D212,'Base produits'!$B$5:$J$91,9,FALSE)),""))</f>
        <v/>
      </c>
      <c r="H212" s="32" t="n"/>
      <c r="I212" s="21">
        <f>IF(OR($D212="",$F212="",$G212=""),"",$F212*$G212*(1-IFERROR($H212,0)))</f>
        <v/>
      </c>
      <c r="J212" s="21">
        <f>IF(OR($D212="",$F212="",$G212=""),"",($G212-IFERROR(VLOOKUP($D212,'Base produits'!$B$5:$H$91,7,FALSE),0))*$F212*(1-IFERROR($H212,0)))</f>
        <v/>
      </c>
      <c r="K212" s="23" t="n"/>
      <c r="L212" s="29" t="n"/>
    </row>
    <row r="213" ht="23" customHeight="1">
      <c r="A213" s="30" t="n"/>
      <c r="B213" s="23" t="n"/>
      <c r="C213" s="29" t="n"/>
      <c r="D213" s="23" t="n"/>
      <c r="E213" s="31">
        <f>IF($D213="","",IFERROR(VLOOKUP($D213,'Base produits'!$B$5:$F$91,5,FALSE),""))</f>
        <v/>
      </c>
      <c r="F213" s="23" t="n"/>
      <c r="G213" s="21">
        <f>IF($D213="","",IFERROR(IF(VLOOKUP($D213,'Base produits'!$B$5:$J$91,9,FALSE)="","",VLOOKUP($D213,'Base produits'!$B$5:$J$91,9,FALSE)),""))</f>
        <v/>
      </c>
      <c r="H213" s="32" t="n"/>
      <c r="I213" s="21">
        <f>IF(OR($D213="",$F213="",$G213=""),"",$F213*$G213*(1-IFERROR($H213,0)))</f>
        <v/>
      </c>
      <c r="J213" s="21">
        <f>IF(OR($D213="",$F213="",$G213=""),"",($G213-IFERROR(VLOOKUP($D213,'Base produits'!$B$5:$H$91,7,FALSE),0))*$F213*(1-IFERROR($H213,0)))</f>
        <v/>
      </c>
      <c r="K213" s="23" t="n"/>
      <c r="L213" s="29" t="n"/>
    </row>
    <row r="214" ht="23" customHeight="1">
      <c r="A214" s="30" t="n"/>
      <c r="B214" s="23" t="n"/>
      <c r="C214" s="29" t="n"/>
      <c r="D214" s="23" t="n"/>
      <c r="E214" s="31">
        <f>IF($D214="","",IFERROR(VLOOKUP($D214,'Base produits'!$B$5:$F$91,5,FALSE),""))</f>
        <v/>
      </c>
      <c r="F214" s="23" t="n"/>
      <c r="G214" s="21">
        <f>IF($D214="","",IFERROR(IF(VLOOKUP($D214,'Base produits'!$B$5:$J$91,9,FALSE)="","",VLOOKUP($D214,'Base produits'!$B$5:$J$91,9,FALSE)),""))</f>
        <v/>
      </c>
      <c r="H214" s="32" t="n"/>
      <c r="I214" s="21">
        <f>IF(OR($D214="",$F214="",$G214=""),"",$F214*$G214*(1-IFERROR($H214,0)))</f>
        <v/>
      </c>
      <c r="J214" s="21">
        <f>IF(OR($D214="",$F214="",$G214=""),"",($G214-IFERROR(VLOOKUP($D214,'Base produits'!$B$5:$H$91,7,FALSE),0))*$F214*(1-IFERROR($H214,0)))</f>
        <v/>
      </c>
      <c r="K214" s="23" t="n"/>
      <c r="L214" s="29" t="n"/>
    </row>
    <row r="215" ht="23" customHeight="1">
      <c r="A215" s="30" t="n"/>
      <c r="B215" s="23" t="n"/>
      <c r="C215" s="29" t="n"/>
      <c r="D215" s="23" t="n"/>
      <c r="E215" s="31">
        <f>IF($D215="","",IFERROR(VLOOKUP($D215,'Base produits'!$B$5:$F$91,5,FALSE),""))</f>
        <v/>
      </c>
      <c r="F215" s="23" t="n"/>
      <c r="G215" s="21">
        <f>IF($D215="","",IFERROR(IF(VLOOKUP($D215,'Base produits'!$B$5:$J$91,9,FALSE)="","",VLOOKUP($D215,'Base produits'!$B$5:$J$91,9,FALSE)),""))</f>
        <v/>
      </c>
      <c r="H215" s="32" t="n"/>
      <c r="I215" s="21">
        <f>IF(OR($D215="",$F215="",$G215=""),"",$F215*$G215*(1-IFERROR($H215,0)))</f>
        <v/>
      </c>
      <c r="J215" s="21">
        <f>IF(OR($D215="",$F215="",$G215=""),"",($G215-IFERROR(VLOOKUP($D215,'Base produits'!$B$5:$H$91,7,FALSE),0))*$F215*(1-IFERROR($H215,0)))</f>
        <v/>
      </c>
      <c r="K215" s="23" t="n"/>
      <c r="L215" s="29" t="n"/>
    </row>
    <row r="216" ht="23" customHeight="1">
      <c r="A216" s="30" t="n"/>
      <c r="B216" s="23" t="n"/>
      <c r="C216" s="29" t="n"/>
      <c r="D216" s="23" t="n"/>
      <c r="E216" s="31">
        <f>IF($D216="","",IFERROR(VLOOKUP($D216,'Base produits'!$B$5:$F$91,5,FALSE),""))</f>
        <v/>
      </c>
      <c r="F216" s="23" t="n"/>
      <c r="G216" s="21">
        <f>IF($D216="","",IFERROR(IF(VLOOKUP($D216,'Base produits'!$B$5:$J$91,9,FALSE)="","",VLOOKUP($D216,'Base produits'!$B$5:$J$91,9,FALSE)),""))</f>
        <v/>
      </c>
      <c r="H216" s="32" t="n"/>
      <c r="I216" s="21">
        <f>IF(OR($D216="",$F216="",$G216=""),"",$F216*$G216*(1-IFERROR($H216,0)))</f>
        <v/>
      </c>
      <c r="J216" s="21">
        <f>IF(OR($D216="",$F216="",$G216=""),"",($G216-IFERROR(VLOOKUP($D216,'Base produits'!$B$5:$H$91,7,FALSE),0))*$F216*(1-IFERROR($H216,0)))</f>
        <v/>
      </c>
      <c r="K216" s="23" t="n"/>
      <c r="L216" s="29" t="n"/>
    </row>
    <row r="217" ht="23" customHeight="1">
      <c r="A217" s="30" t="n"/>
      <c r="B217" s="23" t="n"/>
      <c r="C217" s="29" t="n"/>
      <c r="D217" s="23" t="n"/>
      <c r="E217" s="31">
        <f>IF($D217="","",IFERROR(VLOOKUP($D217,'Base produits'!$B$5:$F$91,5,FALSE),""))</f>
        <v/>
      </c>
      <c r="F217" s="23" t="n"/>
      <c r="G217" s="21">
        <f>IF($D217="","",IFERROR(IF(VLOOKUP($D217,'Base produits'!$B$5:$J$91,9,FALSE)="","",VLOOKUP($D217,'Base produits'!$B$5:$J$91,9,FALSE)),""))</f>
        <v/>
      </c>
      <c r="H217" s="32" t="n"/>
      <c r="I217" s="21">
        <f>IF(OR($D217="",$F217="",$G217=""),"",$F217*$G217*(1-IFERROR($H217,0)))</f>
        <v/>
      </c>
      <c r="J217" s="21">
        <f>IF(OR($D217="",$F217="",$G217=""),"",($G217-IFERROR(VLOOKUP($D217,'Base produits'!$B$5:$H$91,7,FALSE),0))*$F217*(1-IFERROR($H217,0)))</f>
        <v/>
      </c>
      <c r="K217" s="23" t="n"/>
      <c r="L217" s="29" t="n"/>
    </row>
    <row r="218" ht="23" customHeight="1">
      <c r="A218" s="30" t="n"/>
      <c r="B218" s="23" t="n"/>
      <c r="C218" s="29" t="n"/>
      <c r="D218" s="23" t="n"/>
      <c r="E218" s="31">
        <f>IF($D218="","",IFERROR(VLOOKUP($D218,'Base produits'!$B$5:$F$91,5,FALSE),""))</f>
        <v/>
      </c>
      <c r="F218" s="23" t="n"/>
      <c r="G218" s="21">
        <f>IF($D218="","",IFERROR(IF(VLOOKUP($D218,'Base produits'!$B$5:$J$91,9,FALSE)="","",VLOOKUP($D218,'Base produits'!$B$5:$J$91,9,FALSE)),""))</f>
        <v/>
      </c>
      <c r="H218" s="32" t="n"/>
      <c r="I218" s="21">
        <f>IF(OR($D218="",$F218="",$G218=""),"",$F218*$G218*(1-IFERROR($H218,0)))</f>
        <v/>
      </c>
      <c r="J218" s="21">
        <f>IF(OR($D218="",$F218="",$G218=""),"",($G218-IFERROR(VLOOKUP($D218,'Base produits'!$B$5:$H$91,7,FALSE),0))*$F218*(1-IFERROR($H218,0)))</f>
        <v/>
      </c>
      <c r="K218" s="23" t="n"/>
      <c r="L218" s="29" t="n"/>
    </row>
    <row r="219" ht="23" customHeight="1">
      <c r="A219" s="30" t="n"/>
      <c r="B219" s="23" t="n"/>
      <c r="C219" s="29" t="n"/>
      <c r="D219" s="23" t="n"/>
      <c r="E219" s="31">
        <f>IF($D219="","",IFERROR(VLOOKUP($D219,'Base produits'!$B$5:$F$91,5,FALSE),""))</f>
        <v/>
      </c>
      <c r="F219" s="23" t="n"/>
      <c r="G219" s="21">
        <f>IF($D219="","",IFERROR(IF(VLOOKUP($D219,'Base produits'!$B$5:$J$91,9,FALSE)="","",VLOOKUP($D219,'Base produits'!$B$5:$J$91,9,FALSE)),""))</f>
        <v/>
      </c>
      <c r="H219" s="32" t="n"/>
      <c r="I219" s="21">
        <f>IF(OR($D219="",$F219="",$G219=""),"",$F219*$G219*(1-IFERROR($H219,0)))</f>
        <v/>
      </c>
      <c r="J219" s="21">
        <f>IF(OR($D219="",$F219="",$G219=""),"",($G219-IFERROR(VLOOKUP($D219,'Base produits'!$B$5:$H$91,7,FALSE),0))*$F219*(1-IFERROR($H219,0)))</f>
        <v/>
      </c>
      <c r="K219" s="23" t="n"/>
      <c r="L219" s="29" t="n"/>
    </row>
    <row r="220" ht="23" customHeight="1">
      <c r="A220" s="30" t="n"/>
      <c r="B220" s="23" t="n"/>
      <c r="C220" s="29" t="n"/>
      <c r="D220" s="23" t="n"/>
      <c r="E220" s="31">
        <f>IF($D220="","",IFERROR(VLOOKUP($D220,'Base produits'!$B$5:$F$91,5,FALSE),""))</f>
        <v/>
      </c>
      <c r="F220" s="23" t="n"/>
      <c r="G220" s="21">
        <f>IF($D220="","",IFERROR(IF(VLOOKUP($D220,'Base produits'!$B$5:$J$91,9,FALSE)="","",VLOOKUP($D220,'Base produits'!$B$5:$J$91,9,FALSE)),""))</f>
        <v/>
      </c>
      <c r="H220" s="32" t="n"/>
      <c r="I220" s="21">
        <f>IF(OR($D220="",$F220="",$G220=""),"",$F220*$G220*(1-IFERROR($H220,0)))</f>
        <v/>
      </c>
      <c r="J220" s="21">
        <f>IF(OR($D220="",$F220="",$G220=""),"",($G220-IFERROR(VLOOKUP($D220,'Base produits'!$B$5:$H$91,7,FALSE),0))*$F220*(1-IFERROR($H220,0)))</f>
        <v/>
      </c>
      <c r="K220" s="23" t="n"/>
      <c r="L220" s="29" t="n"/>
    </row>
    <row r="221" ht="23" customHeight="1">
      <c r="A221" s="30" t="n"/>
      <c r="B221" s="23" t="n"/>
      <c r="C221" s="29" t="n"/>
      <c r="D221" s="23" t="n"/>
      <c r="E221" s="31">
        <f>IF($D221="","",IFERROR(VLOOKUP($D221,'Base produits'!$B$5:$F$91,5,FALSE),""))</f>
        <v/>
      </c>
      <c r="F221" s="23" t="n"/>
      <c r="G221" s="21">
        <f>IF($D221="","",IFERROR(IF(VLOOKUP($D221,'Base produits'!$B$5:$J$91,9,FALSE)="","",VLOOKUP($D221,'Base produits'!$B$5:$J$91,9,FALSE)),""))</f>
        <v/>
      </c>
      <c r="H221" s="32" t="n"/>
      <c r="I221" s="21">
        <f>IF(OR($D221="",$F221="",$G221=""),"",$F221*$G221*(1-IFERROR($H221,0)))</f>
        <v/>
      </c>
      <c r="J221" s="21">
        <f>IF(OR($D221="",$F221="",$G221=""),"",($G221-IFERROR(VLOOKUP($D221,'Base produits'!$B$5:$H$91,7,FALSE),0))*$F221*(1-IFERROR($H221,0)))</f>
        <v/>
      </c>
      <c r="K221" s="23" t="n"/>
      <c r="L221" s="29" t="n"/>
    </row>
    <row r="222" ht="23" customHeight="1">
      <c r="A222" s="30" t="n"/>
      <c r="B222" s="23" t="n"/>
      <c r="C222" s="29" t="n"/>
      <c r="D222" s="23" t="n"/>
      <c r="E222" s="31">
        <f>IF($D222="","",IFERROR(VLOOKUP($D222,'Base produits'!$B$5:$F$91,5,FALSE),""))</f>
        <v/>
      </c>
      <c r="F222" s="23" t="n"/>
      <c r="G222" s="21">
        <f>IF($D222="","",IFERROR(IF(VLOOKUP($D222,'Base produits'!$B$5:$J$91,9,FALSE)="","",VLOOKUP($D222,'Base produits'!$B$5:$J$91,9,FALSE)),""))</f>
        <v/>
      </c>
      <c r="H222" s="32" t="n"/>
      <c r="I222" s="21">
        <f>IF(OR($D222="",$F222="",$G222=""),"",$F222*$G222*(1-IFERROR($H222,0)))</f>
        <v/>
      </c>
      <c r="J222" s="21">
        <f>IF(OR($D222="",$F222="",$G222=""),"",($G222-IFERROR(VLOOKUP($D222,'Base produits'!$B$5:$H$91,7,FALSE),0))*$F222*(1-IFERROR($H222,0)))</f>
        <v/>
      </c>
      <c r="K222" s="23" t="n"/>
      <c r="L222" s="29" t="n"/>
    </row>
    <row r="223" ht="23" customHeight="1">
      <c r="A223" s="30" t="n"/>
      <c r="B223" s="23" t="n"/>
      <c r="C223" s="29" t="n"/>
      <c r="D223" s="23" t="n"/>
      <c r="E223" s="31">
        <f>IF($D223="","",IFERROR(VLOOKUP($D223,'Base produits'!$B$5:$F$91,5,FALSE),""))</f>
        <v/>
      </c>
      <c r="F223" s="23" t="n"/>
      <c r="G223" s="21">
        <f>IF($D223="","",IFERROR(IF(VLOOKUP($D223,'Base produits'!$B$5:$J$91,9,FALSE)="","",VLOOKUP($D223,'Base produits'!$B$5:$J$91,9,FALSE)),""))</f>
        <v/>
      </c>
      <c r="H223" s="32" t="n"/>
      <c r="I223" s="21">
        <f>IF(OR($D223="",$F223="",$G223=""),"",$F223*$G223*(1-IFERROR($H223,0)))</f>
        <v/>
      </c>
      <c r="J223" s="21">
        <f>IF(OR($D223="",$F223="",$G223=""),"",($G223-IFERROR(VLOOKUP($D223,'Base produits'!$B$5:$H$91,7,FALSE),0))*$F223*(1-IFERROR($H223,0)))</f>
        <v/>
      </c>
      <c r="K223" s="23" t="n"/>
      <c r="L223" s="29" t="n"/>
    </row>
    <row r="224" ht="23" customHeight="1">
      <c r="A224" s="30" t="n"/>
      <c r="B224" s="23" t="n"/>
      <c r="C224" s="29" t="n"/>
      <c r="D224" s="23" t="n"/>
      <c r="E224" s="31">
        <f>IF($D224="","",IFERROR(VLOOKUP($D224,'Base produits'!$B$5:$F$91,5,FALSE),""))</f>
        <v/>
      </c>
      <c r="F224" s="23" t="n"/>
      <c r="G224" s="21">
        <f>IF($D224="","",IFERROR(IF(VLOOKUP($D224,'Base produits'!$B$5:$J$91,9,FALSE)="","",VLOOKUP($D224,'Base produits'!$B$5:$J$91,9,FALSE)),""))</f>
        <v/>
      </c>
      <c r="H224" s="32" t="n"/>
      <c r="I224" s="21">
        <f>IF(OR($D224="",$F224="",$G224=""),"",$F224*$G224*(1-IFERROR($H224,0)))</f>
        <v/>
      </c>
      <c r="J224" s="21">
        <f>IF(OR($D224="",$F224="",$G224=""),"",($G224-IFERROR(VLOOKUP($D224,'Base produits'!$B$5:$H$91,7,FALSE),0))*$F224*(1-IFERROR($H224,0)))</f>
        <v/>
      </c>
      <c r="K224" s="23" t="n"/>
      <c r="L224" s="29" t="n"/>
    </row>
    <row r="225" ht="23" customHeight="1">
      <c r="A225" s="30" t="n"/>
      <c r="B225" s="23" t="n"/>
      <c r="C225" s="29" t="n"/>
      <c r="D225" s="23" t="n"/>
      <c r="E225" s="31">
        <f>IF($D225="","",IFERROR(VLOOKUP($D225,'Base produits'!$B$5:$F$91,5,FALSE),""))</f>
        <v/>
      </c>
      <c r="F225" s="23" t="n"/>
      <c r="G225" s="21">
        <f>IF($D225="","",IFERROR(IF(VLOOKUP($D225,'Base produits'!$B$5:$J$91,9,FALSE)="","",VLOOKUP($D225,'Base produits'!$B$5:$J$91,9,FALSE)),""))</f>
        <v/>
      </c>
      <c r="H225" s="32" t="n"/>
      <c r="I225" s="21">
        <f>IF(OR($D225="",$F225="",$G225=""),"",$F225*$G225*(1-IFERROR($H225,0)))</f>
        <v/>
      </c>
      <c r="J225" s="21">
        <f>IF(OR($D225="",$F225="",$G225=""),"",($G225-IFERROR(VLOOKUP($D225,'Base produits'!$B$5:$H$91,7,FALSE),0))*$F225*(1-IFERROR($H225,0)))</f>
        <v/>
      </c>
      <c r="K225" s="23" t="n"/>
      <c r="L225" s="29" t="n"/>
    </row>
    <row r="226" ht="23" customHeight="1">
      <c r="A226" s="30" t="n"/>
      <c r="B226" s="23" t="n"/>
      <c r="C226" s="29" t="n"/>
      <c r="D226" s="23" t="n"/>
      <c r="E226" s="31">
        <f>IF($D226="","",IFERROR(VLOOKUP($D226,'Base produits'!$B$5:$F$91,5,FALSE),""))</f>
        <v/>
      </c>
      <c r="F226" s="23" t="n"/>
      <c r="G226" s="21">
        <f>IF($D226="","",IFERROR(IF(VLOOKUP($D226,'Base produits'!$B$5:$J$91,9,FALSE)="","",VLOOKUP($D226,'Base produits'!$B$5:$J$91,9,FALSE)),""))</f>
        <v/>
      </c>
      <c r="H226" s="32" t="n"/>
      <c r="I226" s="21">
        <f>IF(OR($D226="",$F226="",$G226=""),"",$F226*$G226*(1-IFERROR($H226,0)))</f>
        <v/>
      </c>
      <c r="J226" s="21">
        <f>IF(OR($D226="",$F226="",$G226=""),"",($G226-IFERROR(VLOOKUP($D226,'Base produits'!$B$5:$H$91,7,FALSE),0))*$F226*(1-IFERROR($H226,0)))</f>
        <v/>
      </c>
      <c r="K226" s="23" t="n"/>
      <c r="L226" s="29" t="n"/>
    </row>
    <row r="227" ht="23" customHeight="1">
      <c r="A227" s="30" t="n"/>
      <c r="B227" s="23" t="n"/>
      <c r="C227" s="29" t="n"/>
      <c r="D227" s="23" t="n"/>
      <c r="E227" s="31">
        <f>IF($D227="","",IFERROR(VLOOKUP($D227,'Base produits'!$B$5:$F$91,5,FALSE),""))</f>
        <v/>
      </c>
      <c r="F227" s="23" t="n"/>
      <c r="G227" s="21">
        <f>IF($D227="","",IFERROR(IF(VLOOKUP($D227,'Base produits'!$B$5:$J$91,9,FALSE)="","",VLOOKUP($D227,'Base produits'!$B$5:$J$91,9,FALSE)),""))</f>
        <v/>
      </c>
      <c r="H227" s="32" t="n"/>
      <c r="I227" s="21">
        <f>IF(OR($D227="",$F227="",$G227=""),"",$F227*$G227*(1-IFERROR($H227,0)))</f>
        <v/>
      </c>
      <c r="J227" s="21">
        <f>IF(OR($D227="",$F227="",$G227=""),"",($G227-IFERROR(VLOOKUP($D227,'Base produits'!$B$5:$H$91,7,FALSE),0))*$F227*(1-IFERROR($H227,0)))</f>
        <v/>
      </c>
      <c r="K227" s="23" t="n"/>
      <c r="L227" s="29" t="n"/>
    </row>
    <row r="228" ht="23" customHeight="1">
      <c r="A228" s="30" t="n"/>
      <c r="B228" s="23" t="n"/>
      <c r="C228" s="29" t="n"/>
      <c r="D228" s="23" t="n"/>
      <c r="E228" s="31">
        <f>IF($D228="","",IFERROR(VLOOKUP($D228,'Base produits'!$B$5:$F$91,5,FALSE),""))</f>
        <v/>
      </c>
      <c r="F228" s="23" t="n"/>
      <c r="G228" s="21">
        <f>IF($D228="","",IFERROR(IF(VLOOKUP($D228,'Base produits'!$B$5:$J$91,9,FALSE)="","",VLOOKUP($D228,'Base produits'!$B$5:$J$91,9,FALSE)),""))</f>
        <v/>
      </c>
      <c r="H228" s="32" t="n"/>
      <c r="I228" s="21">
        <f>IF(OR($D228="",$F228="",$G228=""),"",$F228*$G228*(1-IFERROR($H228,0)))</f>
        <v/>
      </c>
      <c r="J228" s="21">
        <f>IF(OR($D228="",$F228="",$G228=""),"",($G228-IFERROR(VLOOKUP($D228,'Base produits'!$B$5:$H$91,7,FALSE),0))*$F228*(1-IFERROR($H228,0)))</f>
        <v/>
      </c>
      <c r="K228" s="23" t="n"/>
      <c r="L228" s="29" t="n"/>
    </row>
    <row r="229" ht="23" customHeight="1">
      <c r="A229" s="30" t="n"/>
      <c r="B229" s="23" t="n"/>
      <c r="C229" s="29" t="n"/>
      <c r="D229" s="23" t="n"/>
      <c r="E229" s="31">
        <f>IF($D229="","",IFERROR(VLOOKUP($D229,'Base produits'!$B$5:$F$91,5,FALSE),""))</f>
        <v/>
      </c>
      <c r="F229" s="23" t="n"/>
      <c r="G229" s="21">
        <f>IF($D229="","",IFERROR(IF(VLOOKUP($D229,'Base produits'!$B$5:$J$91,9,FALSE)="","",VLOOKUP($D229,'Base produits'!$B$5:$J$91,9,FALSE)),""))</f>
        <v/>
      </c>
      <c r="H229" s="32" t="n"/>
      <c r="I229" s="21">
        <f>IF(OR($D229="",$F229="",$G229=""),"",$F229*$G229*(1-IFERROR($H229,0)))</f>
        <v/>
      </c>
      <c r="J229" s="21">
        <f>IF(OR($D229="",$F229="",$G229=""),"",($G229-IFERROR(VLOOKUP($D229,'Base produits'!$B$5:$H$91,7,FALSE),0))*$F229*(1-IFERROR($H229,0)))</f>
        <v/>
      </c>
      <c r="K229" s="23" t="n"/>
      <c r="L229" s="29" t="n"/>
    </row>
    <row r="230" ht="23" customHeight="1">
      <c r="A230" s="30" t="n"/>
      <c r="B230" s="23" t="n"/>
      <c r="C230" s="29" t="n"/>
      <c r="D230" s="23" t="n"/>
      <c r="E230" s="31">
        <f>IF($D230="","",IFERROR(VLOOKUP($D230,'Base produits'!$B$5:$F$91,5,FALSE),""))</f>
        <v/>
      </c>
      <c r="F230" s="23" t="n"/>
      <c r="G230" s="21">
        <f>IF($D230="","",IFERROR(IF(VLOOKUP($D230,'Base produits'!$B$5:$J$91,9,FALSE)="","",VLOOKUP($D230,'Base produits'!$B$5:$J$91,9,FALSE)),""))</f>
        <v/>
      </c>
      <c r="H230" s="32" t="n"/>
      <c r="I230" s="21">
        <f>IF(OR($D230="",$F230="",$G230=""),"",$F230*$G230*(1-IFERROR($H230,0)))</f>
        <v/>
      </c>
      <c r="J230" s="21">
        <f>IF(OR($D230="",$F230="",$G230=""),"",($G230-IFERROR(VLOOKUP($D230,'Base produits'!$B$5:$H$91,7,FALSE),0))*$F230*(1-IFERROR($H230,0)))</f>
        <v/>
      </c>
      <c r="K230" s="23" t="n"/>
      <c r="L230" s="29" t="n"/>
    </row>
    <row r="231" ht="23" customHeight="1">
      <c r="A231" s="30" t="n"/>
      <c r="B231" s="23" t="n"/>
      <c r="C231" s="29" t="n"/>
      <c r="D231" s="23" t="n"/>
      <c r="E231" s="31">
        <f>IF($D231="","",IFERROR(VLOOKUP($D231,'Base produits'!$B$5:$F$91,5,FALSE),""))</f>
        <v/>
      </c>
      <c r="F231" s="23" t="n"/>
      <c r="G231" s="21">
        <f>IF($D231="","",IFERROR(IF(VLOOKUP($D231,'Base produits'!$B$5:$J$91,9,FALSE)="","",VLOOKUP($D231,'Base produits'!$B$5:$J$91,9,FALSE)),""))</f>
        <v/>
      </c>
      <c r="H231" s="32" t="n"/>
      <c r="I231" s="21">
        <f>IF(OR($D231="",$F231="",$G231=""),"",$F231*$G231*(1-IFERROR($H231,0)))</f>
        <v/>
      </c>
      <c r="J231" s="21">
        <f>IF(OR($D231="",$F231="",$G231=""),"",($G231-IFERROR(VLOOKUP($D231,'Base produits'!$B$5:$H$91,7,FALSE),0))*$F231*(1-IFERROR($H231,0)))</f>
        <v/>
      </c>
      <c r="K231" s="23" t="n"/>
      <c r="L231" s="29" t="n"/>
    </row>
    <row r="232" ht="23" customHeight="1">
      <c r="A232" s="30" t="n"/>
      <c r="B232" s="23" t="n"/>
      <c r="C232" s="29" t="n"/>
      <c r="D232" s="23" t="n"/>
      <c r="E232" s="31">
        <f>IF($D232="","",IFERROR(VLOOKUP($D232,'Base produits'!$B$5:$F$91,5,FALSE),""))</f>
        <v/>
      </c>
      <c r="F232" s="23" t="n"/>
      <c r="G232" s="21">
        <f>IF($D232="","",IFERROR(IF(VLOOKUP($D232,'Base produits'!$B$5:$J$91,9,FALSE)="","",VLOOKUP($D232,'Base produits'!$B$5:$J$91,9,FALSE)),""))</f>
        <v/>
      </c>
      <c r="H232" s="32" t="n"/>
      <c r="I232" s="21">
        <f>IF(OR($D232="",$F232="",$G232=""),"",$F232*$G232*(1-IFERROR($H232,0)))</f>
        <v/>
      </c>
      <c r="J232" s="21">
        <f>IF(OR($D232="",$F232="",$G232=""),"",($G232-IFERROR(VLOOKUP($D232,'Base produits'!$B$5:$H$91,7,FALSE),0))*$F232*(1-IFERROR($H232,0)))</f>
        <v/>
      </c>
      <c r="K232" s="23" t="n"/>
      <c r="L232" s="29" t="n"/>
    </row>
    <row r="233" ht="23" customHeight="1">
      <c r="A233" s="30" t="n"/>
      <c r="B233" s="23" t="n"/>
      <c r="C233" s="29" t="n"/>
      <c r="D233" s="23" t="n"/>
      <c r="E233" s="31">
        <f>IF($D233="","",IFERROR(VLOOKUP($D233,'Base produits'!$B$5:$F$91,5,FALSE),""))</f>
        <v/>
      </c>
      <c r="F233" s="23" t="n"/>
      <c r="G233" s="21">
        <f>IF($D233="","",IFERROR(IF(VLOOKUP($D233,'Base produits'!$B$5:$J$91,9,FALSE)="","",VLOOKUP($D233,'Base produits'!$B$5:$J$91,9,FALSE)),""))</f>
        <v/>
      </c>
      <c r="H233" s="32" t="n"/>
      <c r="I233" s="21">
        <f>IF(OR($D233="",$F233="",$G233=""),"",$F233*$G233*(1-IFERROR($H233,0)))</f>
        <v/>
      </c>
      <c r="J233" s="21">
        <f>IF(OR($D233="",$F233="",$G233=""),"",($G233-IFERROR(VLOOKUP($D233,'Base produits'!$B$5:$H$91,7,FALSE),0))*$F233*(1-IFERROR($H233,0)))</f>
        <v/>
      </c>
      <c r="K233" s="23" t="n"/>
      <c r="L233" s="29" t="n"/>
    </row>
    <row r="234" ht="23" customHeight="1">
      <c r="A234" s="30" t="n"/>
      <c r="B234" s="23" t="n"/>
      <c r="C234" s="29" t="n"/>
      <c r="D234" s="23" t="n"/>
      <c r="E234" s="31">
        <f>IF($D234="","",IFERROR(VLOOKUP($D234,'Base produits'!$B$5:$F$91,5,FALSE),""))</f>
        <v/>
      </c>
      <c r="F234" s="23" t="n"/>
      <c r="G234" s="21">
        <f>IF($D234="","",IFERROR(IF(VLOOKUP($D234,'Base produits'!$B$5:$J$91,9,FALSE)="","",VLOOKUP($D234,'Base produits'!$B$5:$J$91,9,FALSE)),""))</f>
        <v/>
      </c>
      <c r="H234" s="32" t="n"/>
      <c r="I234" s="21">
        <f>IF(OR($D234="",$F234="",$G234=""),"",$F234*$G234*(1-IFERROR($H234,0)))</f>
        <v/>
      </c>
      <c r="J234" s="21">
        <f>IF(OR($D234="",$F234="",$G234=""),"",($G234-IFERROR(VLOOKUP($D234,'Base produits'!$B$5:$H$91,7,FALSE),0))*$F234*(1-IFERROR($H234,0)))</f>
        <v/>
      </c>
      <c r="K234" s="23" t="n"/>
      <c r="L234" s="29" t="n"/>
    </row>
    <row r="235" ht="23" customHeight="1">
      <c r="A235" s="30" t="n"/>
      <c r="B235" s="23" t="n"/>
      <c r="C235" s="29" t="n"/>
      <c r="D235" s="23" t="n"/>
      <c r="E235" s="31">
        <f>IF($D235="","",IFERROR(VLOOKUP($D235,'Base produits'!$B$5:$F$91,5,FALSE),""))</f>
        <v/>
      </c>
      <c r="F235" s="23" t="n"/>
      <c r="G235" s="21">
        <f>IF($D235="","",IFERROR(IF(VLOOKUP($D235,'Base produits'!$B$5:$J$91,9,FALSE)="","",VLOOKUP($D235,'Base produits'!$B$5:$J$91,9,FALSE)),""))</f>
        <v/>
      </c>
      <c r="H235" s="32" t="n"/>
      <c r="I235" s="21">
        <f>IF(OR($D235="",$F235="",$G235=""),"",$F235*$G235*(1-IFERROR($H235,0)))</f>
        <v/>
      </c>
      <c r="J235" s="21">
        <f>IF(OR($D235="",$F235="",$G235=""),"",($G235-IFERROR(VLOOKUP($D235,'Base produits'!$B$5:$H$91,7,FALSE),0))*$F235*(1-IFERROR($H235,0)))</f>
        <v/>
      </c>
      <c r="K235" s="23" t="n"/>
      <c r="L235" s="29" t="n"/>
    </row>
    <row r="236" ht="23" customHeight="1">
      <c r="A236" s="30" t="n"/>
      <c r="B236" s="23" t="n"/>
      <c r="C236" s="29" t="n"/>
      <c r="D236" s="23" t="n"/>
      <c r="E236" s="31">
        <f>IF($D236="","",IFERROR(VLOOKUP($D236,'Base produits'!$B$5:$F$91,5,FALSE),""))</f>
        <v/>
      </c>
      <c r="F236" s="23" t="n"/>
      <c r="G236" s="21">
        <f>IF($D236="","",IFERROR(IF(VLOOKUP($D236,'Base produits'!$B$5:$J$91,9,FALSE)="","",VLOOKUP($D236,'Base produits'!$B$5:$J$91,9,FALSE)),""))</f>
        <v/>
      </c>
      <c r="H236" s="32" t="n"/>
      <c r="I236" s="21">
        <f>IF(OR($D236="",$F236="",$G236=""),"",$F236*$G236*(1-IFERROR($H236,0)))</f>
        <v/>
      </c>
      <c r="J236" s="21">
        <f>IF(OR($D236="",$F236="",$G236=""),"",($G236-IFERROR(VLOOKUP($D236,'Base produits'!$B$5:$H$91,7,FALSE),0))*$F236*(1-IFERROR($H236,0)))</f>
        <v/>
      </c>
      <c r="K236" s="23" t="n"/>
      <c r="L236" s="29" t="n"/>
    </row>
    <row r="237" ht="23" customHeight="1">
      <c r="A237" s="30" t="n"/>
      <c r="B237" s="23" t="n"/>
      <c r="C237" s="29" t="n"/>
      <c r="D237" s="23" t="n"/>
      <c r="E237" s="31">
        <f>IF($D237="","",IFERROR(VLOOKUP($D237,'Base produits'!$B$5:$F$91,5,FALSE),""))</f>
        <v/>
      </c>
      <c r="F237" s="23" t="n"/>
      <c r="G237" s="21">
        <f>IF($D237="","",IFERROR(IF(VLOOKUP($D237,'Base produits'!$B$5:$J$91,9,FALSE)="","",VLOOKUP($D237,'Base produits'!$B$5:$J$91,9,FALSE)),""))</f>
        <v/>
      </c>
      <c r="H237" s="32" t="n"/>
      <c r="I237" s="21">
        <f>IF(OR($D237="",$F237="",$G237=""),"",$F237*$G237*(1-IFERROR($H237,0)))</f>
        <v/>
      </c>
      <c r="J237" s="21">
        <f>IF(OR($D237="",$F237="",$G237=""),"",($G237-IFERROR(VLOOKUP($D237,'Base produits'!$B$5:$H$91,7,FALSE),0))*$F237*(1-IFERROR($H237,0)))</f>
        <v/>
      </c>
      <c r="K237" s="23" t="n"/>
      <c r="L237" s="29" t="n"/>
    </row>
    <row r="238" ht="23" customHeight="1">
      <c r="A238" s="30" t="n"/>
      <c r="B238" s="23" t="n"/>
      <c r="C238" s="29" t="n"/>
      <c r="D238" s="23" t="n"/>
      <c r="E238" s="31">
        <f>IF($D238="","",IFERROR(VLOOKUP($D238,'Base produits'!$B$5:$F$91,5,FALSE),""))</f>
        <v/>
      </c>
      <c r="F238" s="23" t="n"/>
      <c r="G238" s="21">
        <f>IF($D238="","",IFERROR(IF(VLOOKUP($D238,'Base produits'!$B$5:$J$91,9,FALSE)="","",VLOOKUP($D238,'Base produits'!$B$5:$J$91,9,FALSE)),""))</f>
        <v/>
      </c>
      <c r="H238" s="32" t="n"/>
      <c r="I238" s="21">
        <f>IF(OR($D238="",$F238="",$G238=""),"",$F238*$G238*(1-IFERROR($H238,0)))</f>
        <v/>
      </c>
      <c r="J238" s="21">
        <f>IF(OR($D238="",$F238="",$G238=""),"",($G238-IFERROR(VLOOKUP($D238,'Base produits'!$B$5:$H$91,7,FALSE),0))*$F238*(1-IFERROR($H238,0)))</f>
        <v/>
      </c>
      <c r="K238" s="23" t="n"/>
      <c r="L238" s="29" t="n"/>
    </row>
    <row r="239" ht="23" customHeight="1">
      <c r="A239" s="30" t="n"/>
      <c r="B239" s="23" t="n"/>
      <c r="C239" s="29" t="n"/>
      <c r="D239" s="23" t="n"/>
      <c r="E239" s="31">
        <f>IF($D239="","",IFERROR(VLOOKUP($D239,'Base produits'!$B$5:$F$91,5,FALSE),""))</f>
        <v/>
      </c>
      <c r="F239" s="23" t="n"/>
      <c r="G239" s="21">
        <f>IF($D239="","",IFERROR(IF(VLOOKUP($D239,'Base produits'!$B$5:$J$91,9,FALSE)="","",VLOOKUP($D239,'Base produits'!$B$5:$J$91,9,FALSE)),""))</f>
        <v/>
      </c>
      <c r="H239" s="32" t="n"/>
      <c r="I239" s="21">
        <f>IF(OR($D239="",$F239="",$G239=""),"",$F239*$G239*(1-IFERROR($H239,0)))</f>
        <v/>
      </c>
      <c r="J239" s="21">
        <f>IF(OR($D239="",$F239="",$G239=""),"",($G239-IFERROR(VLOOKUP($D239,'Base produits'!$B$5:$H$91,7,FALSE),0))*$F239*(1-IFERROR($H239,0)))</f>
        <v/>
      </c>
      <c r="K239" s="23" t="n"/>
      <c r="L239" s="29" t="n"/>
    </row>
    <row r="240" ht="23" customHeight="1">
      <c r="A240" s="30" t="n"/>
      <c r="B240" s="23" t="n"/>
      <c r="C240" s="29" t="n"/>
      <c r="D240" s="23" t="n"/>
      <c r="E240" s="31">
        <f>IF($D240="","",IFERROR(VLOOKUP($D240,'Base produits'!$B$5:$F$91,5,FALSE),""))</f>
        <v/>
      </c>
      <c r="F240" s="23" t="n"/>
      <c r="G240" s="21">
        <f>IF($D240="","",IFERROR(IF(VLOOKUP($D240,'Base produits'!$B$5:$J$91,9,FALSE)="","",VLOOKUP($D240,'Base produits'!$B$5:$J$91,9,FALSE)),""))</f>
        <v/>
      </c>
      <c r="H240" s="32" t="n"/>
      <c r="I240" s="21">
        <f>IF(OR($D240="",$F240="",$G240=""),"",$F240*$G240*(1-IFERROR($H240,0)))</f>
        <v/>
      </c>
      <c r="J240" s="21">
        <f>IF(OR($D240="",$F240="",$G240=""),"",($G240-IFERROR(VLOOKUP($D240,'Base produits'!$B$5:$H$91,7,FALSE),0))*$F240*(1-IFERROR($H240,0)))</f>
        <v/>
      </c>
      <c r="K240" s="23" t="n"/>
      <c r="L240" s="29" t="n"/>
    </row>
    <row r="241" ht="23" customHeight="1">
      <c r="A241" s="30" t="n"/>
      <c r="B241" s="23" t="n"/>
      <c r="C241" s="29" t="n"/>
      <c r="D241" s="23" t="n"/>
      <c r="E241" s="31">
        <f>IF($D241="","",IFERROR(VLOOKUP($D241,'Base produits'!$B$5:$F$91,5,FALSE),""))</f>
        <v/>
      </c>
      <c r="F241" s="23" t="n"/>
      <c r="G241" s="21">
        <f>IF($D241="","",IFERROR(IF(VLOOKUP($D241,'Base produits'!$B$5:$J$91,9,FALSE)="","",VLOOKUP($D241,'Base produits'!$B$5:$J$91,9,FALSE)),""))</f>
        <v/>
      </c>
      <c r="H241" s="32" t="n"/>
      <c r="I241" s="21">
        <f>IF(OR($D241="",$F241="",$G241=""),"",$F241*$G241*(1-IFERROR($H241,0)))</f>
        <v/>
      </c>
      <c r="J241" s="21">
        <f>IF(OR($D241="",$F241="",$G241=""),"",($G241-IFERROR(VLOOKUP($D241,'Base produits'!$B$5:$H$91,7,FALSE),0))*$F241*(1-IFERROR($H241,0)))</f>
        <v/>
      </c>
      <c r="K241" s="23" t="n"/>
      <c r="L241" s="29" t="n"/>
    </row>
    <row r="242" ht="23" customHeight="1">
      <c r="A242" s="30" t="n"/>
      <c r="B242" s="23" t="n"/>
      <c r="C242" s="29" t="n"/>
      <c r="D242" s="23" t="n"/>
      <c r="E242" s="31">
        <f>IF($D242="","",IFERROR(VLOOKUP($D242,'Base produits'!$B$5:$F$91,5,FALSE),""))</f>
        <v/>
      </c>
      <c r="F242" s="23" t="n"/>
      <c r="G242" s="21">
        <f>IF($D242="","",IFERROR(IF(VLOOKUP($D242,'Base produits'!$B$5:$J$91,9,FALSE)="","",VLOOKUP($D242,'Base produits'!$B$5:$J$91,9,FALSE)),""))</f>
        <v/>
      </c>
      <c r="H242" s="32" t="n"/>
      <c r="I242" s="21">
        <f>IF(OR($D242="",$F242="",$G242=""),"",$F242*$G242*(1-IFERROR($H242,0)))</f>
        <v/>
      </c>
      <c r="J242" s="21">
        <f>IF(OR($D242="",$F242="",$G242=""),"",($G242-IFERROR(VLOOKUP($D242,'Base produits'!$B$5:$H$91,7,FALSE),0))*$F242*(1-IFERROR($H242,0)))</f>
        <v/>
      </c>
      <c r="K242" s="23" t="n"/>
      <c r="L242" s="29" t="n"/>
    </row>
    <row r="243" ht="23" customHeight="1">
      <c r="A243" s="30" t="n"/>
      <c r="B243" s="23" t="n"/>
      <c r="C243" s="29" t="n"/>
      <c r="D243" s="23" t="n"/>
      <c r="E243" s="31">
        <f>IF($D243="","",IFERROR(VLOOKUP($D243,'Base produits'!$B$5:$F$91,5,FALSE),""))</f>
        <v/>
      </c>
      <c r="F243" s="23" t="n"/>
      <c r="G243" s="21">
        <f>IF($D243="","",IFERROR(IF(VLOOKUP($D243,'Base produits'!$B$5:$J$91,9,FALSE)="","",VLOOKUP($D243,'Base produits'!$B$5:$J$91,9,FALSE)),""))</f>
        <v/>
      </c>
      <c r="H243" s="32" t="n"/>
      <c r="I243" s="21">
        <f>IF(OR($D243="",$F243="",$G243=""),"",$F243*$G243*(1-IFERROR($H243,0)))</f>
        <v/>
      </c>
      <c r="J243" s="21">
        <f>IF(OR($D243="",$F243="",$G243=""),"",($G243-IFERROR(VLOOKUP($D243,'Base produits'!$B$5:$H$91,7,FALSE),0))*$F243*(1-IFERROR($H243,0)))</f>
        <v/>
      </c>
      <c r="K243" s="23" t="n"/>
      <c r="L243" s="29" t="n"/>
    </row>
    <row r="244" ht="23" customHeight="1">
      <c r="A244" s="30" t="n"/>
      <c r="B244" s="23" t="n"/>
      <c r="C244" s="29" t="n"/>
      <c r="D244" s="23" t="n"/>
      <c r="E244" s="31">
        <f>IF($D244="","",IFERROR(VLOOKUP($D244,'Base produits'!$B$5:$F$91,5,FALSE),""))</f>
        <v/>
      </c>
      <c r="F244" s="23" t="n"/>
      <c r="G244" s="21">
        <f>IF($D244="","",IFERROR(IF(VLOOKUP($D244,'Base produits'!$B$5:$J$91,9,FALSE)="","",VLOOKUP($D244,'Base produits'!$B$5:$J$91,9,FALSE)),""))</f>
        <v/>
      </c>
      <c r="H244" s="32" t="n"/>
      <c r="I244" s="21">
        <f>IF(OR($D244="",$F244="",$G244=""),"",$F244*$G244*(1-IFERROR($H244,0)))</f>
        <v/>
      </c>
      <c r="J244" s="21">
        <f>IF(OR($D244="",$F244="",$G244=""),"",($G244-IFERROR(VLOOKUP($D244,'Base produits'!$B$5:$H$91,7,FALSE),0))*$F244*(1-IFERROR($H244,0)))</f>
        <v/>
      </c>
      <c r="K244" s="23" t="n"/>
      <c r="L244" s="29" t="n"/>
    </row>
    <row r="245" ht="23" customHeight="1">
      <c r="A245" s="30" t="n"/>
      <c r="B245" s="23" t="n"/>
      <c r="C245" s="29" t="n"/>
      <c r="D245" s="23" t="n"/>
      <c r="E245" s="31">
        <f>IF($D245="","",IFERROR(VLOOKUP($D245,'Base produits'!$B$5:$F$91,5,FALSE),""))</f>
        <v/>
      </c>
      <c r="F245" s="23" t="n"/>
      <c r="G245" s="21">
        <f>IF($D245="","",IFERROR(IF(VLOOKUP($D245,'Base produits'!$B$5:$J$91,9,FALSE)="","",VLOOKUP($D245,'Base produits'!$B$5:$J$91,9,FALSE)),""))</f>
        <v/>
      </c>
      <c r="H245" s="32" t="n"/>
      <c r="I245" s="21">
        <f>IF(OR($D245="",$F245="",$G245=""),"",$F245*$G245*(1-IFERROR($H245,0)))</f>
        <v/>
      </c>
      <c r="J245" s="21">
        <f>IF(OR($D245="",$F245="",$G245=""),"",($G245-IFERROR(VLOOKUP($D245,'Base produits'!$B$5:$H$91,7,FALSE),0))*$F245*(1-IFERROR($H245,0)))</f>
        <v/>
      </c>
      <c r="K245" s="23" t="n"/>
      <c r="L245" s="29" t="n"/>
    </row>
    <row r="246" ht="23" customHeight="1">
      <c r="A246" s="30" t="n"/>
      <c r="B246" s="23" t="n"/>
      <c r="C246" s="29" t="n"/>
      <c r="D246" s="23" t="n"/>
      <c r="E246" s="31">
        <f>IF($D246="","",IFERROR(VLOOKUP($D246,'Base produits'!$B$5:$F$91,5,FALSE),""))</f>
        <v/>
      </c>
      <c r="F246" s="23" t="n"/>
      <c r="G246" s="21">
        <f>IF($D246="","",IFERROR(IF(VLOOKUP($D246,'Base produits'!$B$5:$J$91,9,FALSE)="","",VLOOKUP($D246,'Base produits'!$B$5:$J$91,9,FALSE)),""))</f>
        <v/>
      </c>
      <c r="H246" s="32" t="n"/>
      <c r="I246" s="21">
        <f>IF(OR($D246="",$F246="",$G246=""),"",$F246*$G246*(1-IFERROR($H246,0)))</f>
        <v/>
      </c>
      <c r="J246" s="21">
        <f>IF(OR($D246="",$F246="",$G246=""),"",($G246-IFERROR(VLOOKUP($D246,'Base produits'!$B$5:$H$91,7,FALSE),0))*$F246*(1-IFERROR($H246,0)))</f>
        <v/>
      </c>
      <c r="K246" s="23" t="n"/>
      <c r="L246" s="29" t="n"/>
    </row>
    <row r="247" ht="23" customHeight="1">
      <c r="A247" s="30" t="n"/>
      <c r="B247" s="23" t="n"/>
      <c r="C247" s="29" t="n"/>
      <c r="D247" s="23" t="n"/>
      <c r="E247" s="31">
        <f>IF($D247="","",IFERROR(VLOOKUP($D247,'Base produits'!$B$5:$F$91,5,FALSE),""))</f>
        <v/>
      </c>
      <c r="F247" s="23" t="n"/>
      <c r="G247" s="21">
        <f>IF($D247="","",IFERROR(IF(VLOOKUP($D247,'Base produits'!$B$5:$J$91,9,FALSE)="","",VLOOKUP($D247,'Base produits'!$B$5:$J$91,9,FALSE)),""))</f>
        <v/>
      </c>
      <c r="H247" s="32" t="n"/>
      <c r="I247" s="21">
        <f>IF(OR($D247="",$F247="",$G247=""),"",$F247*$G247*(1-IFERROR($H247,0)))</f>
        <v/>
      </c>
      <c r="J247" s="21">
        <f>IF(OR($D247="",$F247="",$G247=""),"",($G247-IFERROR(VLOOKUP($D247,'Base produits'!$B$5:$H$91,7,FALSE),0))*$F247*(1-IFERROR($H247,0)))</f>
        <v/>
      </c>
      <c r="K247" s="23" t="n"/>
      <c r="L247" s="29" t="n"/>
    </row>
    <row r="248" ht="23" customHeight="1">
      <c r="A248" s="30" t="n"/>
      <c r="B248" s="23" t="n"/>
      <c r="C248" s="29" t="n"/>
      <c r="D248" s="23" t="n"/>
      <c r="E248" s="31">
        <f>IF($D248="","",IFERROR(VLOOKUP($D248,'Base produits'!$B$5:$F$91,5,FALSE),""))</f>
        <v/>
      </c>
      <c r="F248" s="23" t="n"/>
      <c r="G248" s="21">
        <f>IF($D248="","",IFERROR(IF(VLOOKUP($D248,'Base produits'!$B$5:$J$91,9,FALSE)="","",VLOOKUP($D248,'Base produits'!$B$5:$J$91,9,FALSE)),""))</f>
        <v/>
      </c>
      <c r="H248" s="32" t="n"/>
      <c r="I248" s="21">
        <f>IF(OR($D248="",$F248="",$G248=""),"",$F248*$G248*(1-IFERROR($H248,0)))</f>
        <v/>
      </c>
      <c r="J248" s="21">
        <f>IF(OR($D248="",$F248="",$G248=""),"",($G248-IFERROR(VLOOKUP($D248,'Base produits'!$B$5:$H$91,7,FALSE),0))*$F248*(1-IFERROR($H248,0)))</f>
        <v/>
      </c>
      <c r="K248" s="23" t="n"/>
      <c r="L248" s="29" t="n"/>
    </row>
    <row r="249" ht="23" customHeight="1">
      <c r="A249" s="30" t="n"/>
      <c r="B249" s="23" t="n"/>
      <c r="C249" s="29" t="n"/>
      <c r="D249" s="23" t="n"/>
      <c r="E249" s="31">
        <f>IF($D249="","",IFERROR(VLOOKUP($D249,'Base produits'!$B$5:$F$91,5,FALSE),""))</f>
        <v/>
      </c>
      <c r="F249" s="23" t="n"/>
      <c r="G249" s="21">
        <f>IF($D249="","",IFERROR(IF(VLOOKUP($D249,'Base produits'!$B$5:$J$91,9,FALSE)="","",VLOOKUP($D249,'Base produits'!$B$5:$J$91,9,FALSE)),""))</f>
        <v/>
      </c>
      <c r="H249" s="32" t="n"/>
      <c r="I249" s="21">
        <f>IF(OR($D249="",$F249="",$G249=""),"",$F249*$G249*(1-IFERROR($H249,0)))</f>
        <v/>
      </c>
      <c r="J249" s="21">
        <f>IF(OR($D249="",$F249="",$G249=""),"",($G249-IFERROR(VLOOKUP($D249,'Base produits'!$B$5:$H$91,7,FALSE),0))*$F249*(1-IFERROR($H249,0)))</f>
        <v/>
      </c>
      <c r="K249" s="23" t="n"/>
      <c r="L249" s="29" t="n"/>
    </row>
    <row r="250" ht="23" customHeight="1">
      <c r="A250" s="30" t="n"/>
      <c r="B250" s="23" t="n"/>
      <c r="C250" s="29" t="n"/>
      <c r="D250" s="23" t="n"/>
      <c r="E250" s="31">
        <f>IF($D250="","",IFERROR(VLOOKUP($D250,'Base produits'!$B$5:$F$91,5,FALSE),""))</f>
        <v/>
      </c>
      <c r="F250" s="23" t="n"/>
      <c r="G250" s="21">
        <f>IF($D250="","",IFERROR(IF(VLOOKUP($D250,'Base produits'!$B$5:$J$91,9,FALSE)="","",VLOOKUP($D250,'Base produits'!$B$5:$J$91,9,FALSE)),""))</f>
        <v/>
      </c>
      <c r="H250" s="32" t="n"/>
      <c r="I250" s="21">
        <f>IF(OR($D250="",$F250="",$G250=""),"",$F250*$G250*(1-IFERROR($H250,0)))</f>
        <v/>
      </c>
      <c r="J250" s="21">
        <f>IF(OR($D250="",$F250="",$G250=""),"",($G250-IFERROR(VLOOKUP($D250,'Base produits'!$B$5:$H$91,7,FALSE),0))*$F250*(1-IFERROR($H250,0)))</f>
        <v/>
      </c>
      <c r="K250" s="23" t="n"/>
      <c r="L250" s="29" t="n"/>
    </row>
    <row r="251" ht="23" customHeight="1">
      <c r="A251" s="30" t="n"/>
      <c r="B251" s="23" t="n"/>
      <c r="C251" s="29" t="n"/>
      <c r="D251" s="23" t="n"/>
      <c r="E251" s="31">
        <f>IF($D251="","",IFERROR(VLOOKUP($D251,'Base produits'!$B$5:$F$91,5,FALSE),""))</f>
        <v/>
      </c>
      <c r="F251" s="23" t="n"/>
      <c r="G251" s="21">
        <f>IF($D251="","",IFERROR(IF(VLOOKUP($D251,'Base produits'!$B$5:$J$91,9,FALSE)="","",VLOOKUP($D251,'Base produits'!$B$5:$J$91,9,FALSE)),""))</f>
        <v/>
      </c>
      <c r="H251" s="32" t="n"/>
      <c r="I251" s="21">
        <f>IF(OR($D251="",$F251="",$G251=""),"",$F251*$G251*(1-IFERROR($H251,0)))</f>
        <v/>
      </c>
      <c r="J251" s="21">
        <f>IF(OR($D251="",$F251="",$G251=""),"",($G251-IFERROR(VLOOKUP($D251,'Base produits'!$B$5:$H$91,7,FALSE),0))*$F251*(1-IFERROR($H251,0)))</f>
        <v/>
      </c>
      <c r="K251" s="23" t="n"/>
      <c r="L251" s="29" t="n"/>
    </row>
    <row r="252" ht="23" customHeight="1">
      <c r="A252" s="30" t="n"/>
      <c r="B252" s="23" t="n"/>
      <c r="C252" s="29" t="n"/>
      <c r="D252" s="23" t="n"/>
      <c r="E252" s="31">
        <f>IF($D252="","",IFERROR(VLOOKUP($D252,'Base produits'!$B$5:$F$91,5,FALSE),""))</f>
        <v/>
      </c>
      <c r="F252" s="23" t="n"/>
      <c r="G252" s="21">
        <f>IF($D252="","",IFERROR(IF(VLOOKUP($D252,'Base produits'!$B$5:$J$91,9,FALSE)="","",VLOOKUP($D252,'Base produits'!$B$5:$J$91,9,FALSE)),""))</f>
        <v/>
      </c>
      <c r="H252" s="32" t="n"/>
      <c r="I252" s="21">
        <f>IF(OR($D252="",$F252="",$G252=""),"",$F252*$G252*(1-IFERROR($H252,0)))</f>
        <v/>
      </c>
      <c r="J252" s="21">
        <f>IF(OR($D252="",$F252="",$G252=""),"",($G252-IFERROR(VLOOKUP($D252,'Base produits'!$B$5:$H$91,7,FALSE),0))*$F252*(1-IFERROR($H252,0)))</f>
        <v/>
      </c>
      <c r="K252" s="23" t="n"/>
      <c r="L252" s="29" t="n"/>
    </row>
    <row r="253" ht="23" customHeight="1">
      <c r="A253" s="30" t="n"/>
      <c r="B253" s="23" t="n"/>
      <c r="C253" s="29" t="n"/>
      <c r="D253" s="23" t="n"/>
      <c r="E253" s="31">
        <f>IF($D253="","",IFERROR(VLOOKUP($D253,'Base produits'!$B$5:$F$91,5,FALSE),""))</f>
        <v/>
      </c>
      <c r="F253" s="23" t="n"/>
      <c r="G253" s="21">
        <f>IF($D253="","",IFERROR(IF(VLOOKUP($D253,'Base produits'!$B$5:$J$91,9,FALSE)="","",VLOOKUP($D253,'Base produits'!$B$5:$J$91,9,FALSE)),""))</f>
        <v/>
      </c>
      <c r="H253" s="32" t="n"/>
      <c r="I253" s="21">
        <f>IF(OR($D253="",$F253="",$G253=""),"",$F253*$G253*(1-IFERROR($H253,0)))</f>
        <v/>
      </c>
      <c r="J253" s="21">
        <f>IF(OR($D253="",$F253="",$G253=""),"",($G253-IFERROR(VLOOKUP($D253,'Base produits'!$B$5:$H$91,7,FALSE),0))*$F253*(1-IFERROR($H253,0)))</f>
        <v/>
      </c>
      <c r="K253" s="23" t="n"/>
      <c r="L253" s="29" t="n"/>
    </row>
    <row r="254" ht="23" customHeight="1">
      <c r="A254" s="30" t="n"/>
      <c r="B254" s="23" t="n"/>
      <c r="C254" s="29" t="n"/>
      <c r="D254" s="23" t="n"/>
      <c r="E254" s="31">
        <f>IF($D254="","",IFERROR(VLOOKUP($D254,'Base produits'!$B$5:$F$91,5,FALSE),""))</f>
        <v/>
      </c>
      <c r="F254" s="23" t="n"/>
      <c r="G254" s="21">
        <f>IF($D254="","",IFERROR(IF(VLOOKUP($D254,'Base produits'!$B$5:$J$91,9,FALSE)="","",VLOOKUP($D254,'Base produits'!$B$5:$J$91,9,FALSE)),""))</f>
        <v/>
      </c>
      <c r="H254" s="32" t="n"/>
      <c r="I254" s="21">
        <f>IF(OR($D254="",$F254="",$G254=""),"",$F254*$G254*(1-IFERROR($H254,0)))</f>
        <v/>
      </c>
      <c r="J254" s="21">
        <f>IF(OR($D254="",$F254="",$G254=""),"",($G254-IFERROR(VLOOKUP($D254,'Base produits'!$B$5:$H$91,7,FALSE),0))*$F254*(1-IFERROR($H254,0)))</f>
        <v/>
      </c>
      <c r="K254" s="23" t="n"/>
      <c r="L254" s="29" t="n"/>
    </row>
    <row r="255" ht="23" customHeight="1">
      <c r="A255" s="30" t="n"/>
      <c r="B255" s="23" t="n"/>
      <c r="C255" s="29" t="n"/>
      <c r="D255" s="23" t="n"/>
      <c r="E255" s="31">
        <f>IF($D255="","",IFERROR(VLOOKUP($D255,'Base produits'!$B$5:$F$91,5,FALSE),""))</f>
        <v/>
      </c>
      <c r="F255" s="23" t="n"/>
      <c r="G255" s="21">
        <f>IF($D255="","",IFERROR(IF(VLOOKUP($D255,'Base produits'!$B$5:$J$91,9,FALSE)="","",VLOOKUP($D255,'Base produits'!$B$5:$J$91,9,FALSE)),""))</f>
        <v/>
      </c>
      <c r="H255" s="32" t="n"/>
      <c r="I255" s="21">
        <f>IF(OR($D255="",$F255="",$G255=""),"",$F255*$G255*(1-IFERROR($H255,0)))</f>
        <v/>
      </c>
      <c r="J255" s="21">
        <f>IF(OR($D255="",$F255="",$G255=""),"",($G255-IFERROR(VLOOKUP($D255,'Base produits'!$B$5:$H$91,7,FALSE),0))*$F255*(1-IFERROR($H255,0)))</f>
        <v/>
      </c>
      <c r="K255" s="23" t="n"/>
      <c r="L255" s="29" t="n"/>
    </row>
    <row r="256" ht="23" customHeight="1">
      <c r="A256" s="30" t="n"/>
      <c r="B256" s="23" t="n"/>
      <c r="C256" s="29" t="n"/>
      <c r="D256" s="23" t="n"/>
      <c r="E256" s="31">
        <f>IF($D256="","",IFERROR(VLOOKUP($D256,'Base produits'!$B$5:$F$91,5,FALSE),""))</f>
        <v/>
      </c>
      <c r="F256" s="23" t="n"/>
      <c r="G256" s="21">
        <f>IF($D256="","",IFERROR(IF(VLOOKUP($D256,'Base produits'!$B$5:$J$91,9,FALSE)="","",VLOOKUP($D256,'Base produits'!$B$5:$J$91,9,FALSE)),""))</f>
        <v/>
      </c>
      <c r="H256" s="32" t="n"/>
      <c r="I256" s="21">
        <f>IF(OR($D256="",$F256="",$G256=""),"",$F256*$G256*(1-IFERROR($H256,0)))</f>
        <v/>
      </c>
      <c r="J256" s="21">
        <f>IF(OR($D256="",$F256="",$G256=""),"",($G256-IFERROR(VLOOKUP($D256,'Base produits'!$B$5:$H$91,7,FALSE),0))*$F256*(1-IFERROR($H256,0)))</f>
        <v/>
      </c>
      <c r="K256" s="23" t="n"/>
      <c r="L256" s="29" t="n"/>
    </row>
    <row r="257" ht="23" customHeight="1">
      <c r="A257" s="30" t="n"/>
      <c r="B257" s="23" t="n"/>
      <c r="C257" s="29" t="n"/>
      <c r="D257" s="23" t="n"/>
      <c r="E257" s="31">
        <f>IF($D257="","",IFERROR(VLOOKUP($D257,'Base produits'!$B$5:$F$91,5,FALSE),""))</f>
        <v/>
      </c>
      <c r="F257" s="23" t="n"/>
      <c r="G257" s="21">
        <f>IF($D257="","",IFERROR(IF(VLOOKUP($D257,'Base produits'!$B$5:$J$91,9,FALSE)="","",VLOOKUP($D257,'Base produits'!$B$5:$J$91,9,FALSE)),""))</f>
        <v/>
      </c>
      <c r="H257" s="32" t="n"/>
      <c r="I257" s="21">
        <f>IF(OR($D257="",$F257="",$G257=""),"",$F257*$G257*(1-IFERROR($H257,0)))</f>
        <v/>
      </c>
      <c r="J257" s="21">
        <f>IF(OR($D257="",$F257="",$G257=""),"",($G257-IFERROR(VLOOKUP($D257,'Base produits'!$B$5:$H$91,7,FALSE),0))*$F257*(1-IFERROR($H257,0)))</f>
        <v/>
      </c>
      <c r="K257" s="23" t="n"/>
      <c r="L257" s="29" t="n"/>
    </row>
    <row r="258" ht="23" customHeight="1">
      <c r="A258" s="30" t="n"/>
      <c r="B258" s="23" t="n"/>
      <c r="C258" s="29" t="n"/>
      <c r="D258" s="23" t="n"/>
      <c r="E258" s="31">
        <f>IF($D258="","",IFERROR(VLOOKUP($D258,'Base produits'!$B$5:$F$91,5,FALSE),""))</f>
        <v/>
      </c>
      <c r="F258" s="23" t="n"/>
      <c r="G258" s="21">
        <f>IF($D258="","",IFERROR(IF(VLOOKUP($D258,'Base produits'!$B$5:$J$91,9,FALSE)="","",VLOOKUP($D258,'Base produits'!$B$5:$J$91,9,FALSE)),""))</f>
        <v/>
      </c>
      <c r="H258" s="32" t="n"/>
      <c r="I258" s="21">
        <f>IF(OR($D258="",$F258="",$G258=""),"",$F258*$G258*(1-IFERROR($H258,0)))</f>
        <v/>
      </c>
      <c r="J258" s="21">
        <f>IF(OR($D258="",$F258="",$G258=""),"",($G258-IFERROR(VLOOKUP($D258,'Base produits'!$B$5:$H$91,7,FALSE),0))*$F258*(1-IFERROR($H258,0)))</f>
        <v/>
      </c>
      <c r="K258" s="23" t="n"/>
      <c r="L258" s="29" t="n"/>
    </row>
    <row r="259" ht="23" customHeight="1">
      <c r="A259" s="30" t="n"/>
      <c r="B259" s="23" t="n"/>
      <c r="C259" s="29" t="n"/>
      <c r="D259" s="23" t="n"/>
      <c r="E259" s="31">
        <f>IF($D259="","",IFERROR(VLOOKUP($D259,'Base produits'!$B$5:$F$91,5,FALSE),""))</f>
        <v/>
      </c>
      <c r="F259" s="23" t="n"/>
      <c r="G259" s="21">
        <f>IF($D259="","",IFERROR(IF(VLOOKUP($D259,'Base produits'!$B$5:$J$91,9,FALSE)="","",VLOOKUP($D259,'Base produits'!$B$5:$J$91,9,FALSE)),""))</f>
        <v/>
      </c>
      <c r="H259" s="32" t="n"/>
      <c r="I259" s="21">
        <f>IF(OR($D259="",$F259="",$G259=""),"",$F259*$G259*(1-IFERROR($H259,0)))</f>
        <v/>
      </c>
      <c r="J259" s="21">
        <f>IF(OR($D259="",$F259="",$G259=""),"",($G259-IFERROR(VLOOKUP($D259,'Base produits'!$B$5:$H$91,7,FALSE),0))*$F259*(1-IFERROR($H259,0)))</f>
        <v/>
      </c>
      <c r="K259" s="23" t="n"/>
      <c r="L259" s="29" t="n"/>
    </row>
    <row r="260" ht="23" customHeight="1">
      <c r="A260" s="30" t="n"/>
      <c r="B260" s="23" t="n"/>
      <c r="C260" s="29" t="n"/>
      <c r="D260" s="23" t="n"/>
      <c r="E260" s="31">
        <f>IF($D260="","",IFERROR(VLOOKUP($D260,'Base produits'!$B$5:$F$91,5,FALSE),""))</f>
        <v/>
      </c>
      <c r="F260" s="23" t="n"/>
      <c r="G260" s="21">
        <f>IF($D260="","",IFERROR(IF(VLOOKUP($D260,'Base produits'!$B$5:$J$91,9,FALSE)="","",VLOOKUP($D260,'Base produits'!$B$5:$J$91,9,FALSE)),""))</f>
        <v/>
      </c>
      <c r="H260" s="32" t="n"/>
      <c r="I260" s="21">
        <f>IF(OR($D260="",$F260="",$G260=""),"",$F260*$G260*(1-IFERROR($H260,0)))</f>
        <v/>
      </c>
      <c r="J260" s="21">
        <f>IF(OR($D260="",$F260="",$G260=""),"",($G260-IFERROR(VLOOKUP($D260,'Base produits'!$B$5:$H$91,7,FALSE),0))*$F260*(1-IFERROR($H260,0)))</f>
        <v/>
      </c>
      <c r="K260" s="23" t="n"/>
      <c r="L260" s="29" t="n"/>
    </row>
    <row r="261" ht="23" customHeight="1">
      <c r="A261" s="30" t="n"/>
      <c r="B261" s="23" t="n"/>
      <c r="C261" s="29" t="n"/>
      <c r="D261" s="23" t="n"/>
      <c r="E261" s="31">
        <f>IF($D261="","",IFERROR(VLOOKUP($D261,'Base produits'!$B$5:$F$91,5,FALSE),""))</f>
        <v/>
      </c>
      <c r="F261" s="23" t="n"/>
      <c r="G261" s="21">
        <f>IF($D261="","",IFERROR(IF(VLOOKUP($D261,'Base produits'!$B$5:$J$91,9,FALSE)="","",VLOOKUP($D261,'Base produits'!$B$5:$J$91,9,FALSE)),""))</f>
        <v/>
      </c>
      <c r="H261" s="32" t="n"/>
      <c r="I261" s="21">
        <f>IF(OR($D261="",$F261="",$G261=""),"",$F261*$G261*(1-IFERROR($H261,0)))</f>
        <v/>
      </c>
      <c r="J261" s="21">
        <f>IF(OR($D261="",$F261="",$G261=""),"",($G261-IFERROR(VLOOKUP($D261,'Base produits'!$B$5:$H$91,7,FALSE),0))*$F261*(1-IFERROR($H261,0)))</f>
        <v/>
      </c>
      <c r="K261" s="23" t="n"/>
      <c r="L261" s="29" t="n"/>
    </row>
    <row r="262" ht="23" customHeight="1">
      <c r="A262" s="30" t="n"/>
      <c r="B262" s="23" t="n"/>
      <c r="C262" s="29" t="n"/>
      <c r="D262" s="23" t="n"/>
      <c r="E262" s="31">
        <f>IF($D262="","",IFERROR(VLOOKUP($D262,'Base produits'!$B$5:$F$91,5,FALSE),""))</f>
        <v/>
      </c>
      <c r="F262" s="23" t="n"/>
      <c r="G262" s="21">
        <f>IF($D262="","",IFERROR(IF(VLOOKUP($D262,'Base produits'!$B$5:$J$91,9,FALSE)="","",VLOOKUP($D262,'Base produits'!$B$5:$J$91,9,FALSE)),""))</f>
        <v/>
      </c>
      <c r="H262" s="32" t="n"/>
      <c r="I262" s="21">
        <f>IF(OR($D262="",$F262="",$G262=""),"",$F262*$G262*(1-IFERROR($H262,0)))</f>
        <v/>
      </c>
      <c r="J262" s="21">
        <f>IF(OR($D262="",$F262="",$G262=""),"",($G262-IFERROR(VLOOKUP($D262,'Base produits'!$B$5:$H$91,7,FALSE),0))*$F262*(1-IFERROR($H262,0)))</f>
        <v/>
      </c>
      <c r="K262" s="23" t="n"/>
      <c r="L262" s="29" t="n"/>
    </row>
    <row r="263" ht="23" customHeight="1">
      <c r="A263" s="30" t="n"/>
      <c r="B263" s="23" t="n"/>
      <c r="C263" s="29" t="n"/>
      <c r="D263" s="23" t="n"/>
      <c r="E263" s="31">
        <f>IF($D263="","",IFERROR(VLOOKUP($D263,'Base produits'!$B$5:$F$91,5,FALSE),""))</f>
        <v/>
      </c>
      <c r="F263" s="23" t="n"/>
      <c r="G263" s="21">
        <f>IF($D263="","",IFERROR(IF(VLOOKUP($D263,'Base produits'!$B$5:$J$91,9,FALSE)="","",VLOOKUP($D263,'Base produits'!$B$5:$J$91,9,FALSE)),""))</f>
        <v/>
      </c>
      <c r="H263" s="32" t="n"/>
      <c r="I263" s="21">
        <f>IF(OR($D263="",$F263="",$G263=""),"",$F263*$G263*(1-IFERROR($H263,0)))</f>
        <v/>
      </c>
      <c r="J263" s="21">
        <f>IF(OR($D263="",$F263="",$G263=""),"",($G263-IFERROR(VLOOKUP($D263,'Base produits'!$B$5:$H$91,7,FALSE),0))*$F263*(1-IFERROR($H263,0)))</f>
        <v/>
      </c>
      <c r="K263" s="23" t="n"/>
      <c r="L263" s="29" t="n"/>
    </row>
    <row r="264" ht="23" customHeight="1">
      <c r="A264" s="30" t="n"/>
      <c r="B264" s="23" t="n"/>
      <c r="C264" s="29" t="n"/>
      <c r="D264" s="23" t="n"/>
      <c r="E264" s="31">
        <f>IF($D264="","",IFERROR(VLOOKUP($D264,'Base produits'!$B$5:$F$91,5,FALSE),""))</f>
        <v/>
      </c>
      <c r="F264" s="23" t="n"/>
      <c r="G264" s="21">
        <f>IF($D264="","",IFERROR(IF(VLOOKUP($D264,'Base produits'!$B$5:$J$91,9,FALSE)="","",VLOOKUP($D264,'Base produits'!$B$5:$J$91,9,FALSE)),""))</f>
        <v/>
      </c>
      <c r="H264" s="32" t="n"/>
      <c r="I264" s="21">
        <f>IF(OR($D264="",$F264="",$G264=""),"",$F264*$G264*(1-IFERROR($H264,0)))</f>
        <v/>
      </c>
      <c r="J264" s="21">
        <f>IF(OR($D264="",$F264="",$G264=""),"",($G264-IFERROR(VLOOKUP($D264,'Base produits'!$B$5:$H$91,7,FALSE),0))*$F264*(1-IFERROR($H264,0)))</f>
        <v/>
      </c>
      <c r="K264" s="23" t="n"/>
      <c r="L264" s="29" t="n"/>
    </row>
    <row r="265" ht="23" customHeight="1">
      <c r="A265" s="30" t="n"/>
      <c r="B265" s="23" t="n"/>
      <c r="C265" s="29" t="n"/>
      <c r="D265" s="23" t="n"/>
      <c r="E265" s="31">
        <f>IF($D265="","",IFERROR(VLOOKUP($D265,'Base produits'!$B$5:$F$91,5,FALSE),""))</f>
        <v/>
      </c>
      <c r="F265" s="23" t="n"/>
      <c r="G265" s="21">
        <f>IF($D265="","",IFERROR(IF(VLOOKUP($D265,'Base produits'!$B$5:$J$91,9,FALSE)="","",VLOOKUP($D265,'Base produits'!$B$5:$J$91,9,FALSE)),""))</f>
        <v/>
      </c>
      <c r="H265" s="32" t="n"/>
      <c r="I265" s="21">
        <f>IF(OR($D265="",$F265="",$G265=""),"",$F265*$G265*(1-IFERROR($H265,0)))</f>
        <v/>
      </c>
      <c r="J265" s="21">
        <f>IF(OR($D265="",$F265="",$G265=""),"",($G265-IFERROR(VLOOKUP($D265,'Base produits'!$B$5:$H$91,7,FALSE),0))*$F265*(1-IFERROR($H265,0)))</f>
        <v/>
      </c>
      <c r="K265" s="23" t="n"/>
      <c r="L265" s="29" t="n"/>
    </row>
    <row r="266" ht="23" customHeight="1">
      <c r="A266" s="30" t="n"/>
      <c r="B266" s="23" t="n"/>
      <c r="C266" s="29" t="n"/>
      <c r="D266" s="23" t="n"/>
      <c r="E266" s="31">
        <f>IF($D266="","",IFERROR(VLOOKUP($D266,'Base produits'!$B$5:$F$91,5,FALSE),""))</f>
        <v/>
      </c>
      <c r="F266" s="23" t="n"/>
      <c r="G266" s="21">
        <f>IF($D266="","",IFERROR(IF(VLOOKUP($D266,'Base produits'!$B$5:$J$91,9,FALSE)="","",VLOOKUP($D266,'Base produits'!$B$5:$J$91,9,FALSE)),""))</f>
        <v/>
      </c>
      <c r="H266" s="32" t="n"/>
      <c r="I266" s="21">
        <f>IF(OR($D266="",$F266="",$G266=""),"",$F266*$G266*(1-IFERROR($H266,0)))</f>
        <v/>
      </c>
      <c r="J266" s="21">
        <f>IF(OR($D266="",$F266="",$G266=""),"",($G266-IFERROR(VLOOKUP($D266,'Base produits'!$B$5:$H$91,7,FALSE),0))*$F266*(1-IFERROR($H266,0)))</f>
        <v/>
      </c>
      <c r="K266" s="23" t="n"/>
      <c r="L266" s="29" t="n"/>
    </row>
    <row r="267" ht="23" customHeight="1">
      <c r="A267" s="30" t="n"/>
      <c r="B267" s="23" t="n"/>
      <c r="C267" s="29" t="n"/>
      <c r="D267" s="23" t="n"/>
      <c r="E267" s="31">
        <f>IF($D267="","",IFERROR(VLOOKUP($D267,'Base produits'!$B$5:$F$91,5,FALSE),""))</f>
        <v/>
      </c>
      <c r="F267" s="23" t="n"/>
      <c r="G267" s="21">
        <f>IF($D267="","",IFERROR(IF(VLOOKUP($D267,'Base produits'!$B$5:$J$91,9,FALSE)="","",VLOOKUP($D267,'Base produits'!$B$5:$J$91,9,FALSE)),""))</f>
        <v/>
      </c>
      <c r="H267" s="32" t="n"/>
      <c r="I267" s="21">
        <f>IF(OR($D267="",$F267="",$G267=""),"",$F267*$G267*(1-IFERROR($H267,0)))</f>
        <v/>
      </c>
      <c r="J267" s="21">
        <f>IF(OR($D267="",$F267="",$G267=""),"",($G267-IFERROR(VLOOKUP($D267,'Base produits'!$B$5:$H$91,7,FALSE),0))*$F267*(1-IFERROR($H267,0)))</f>
        <v/>
      </c>
      <c r="K267" s="23" t="n"/>
      <c r="L267" s="29" t="n"/>
    </row>
    <row r="268" ht="23" customHeight="1">
      <c r="A268" s="30" t="n"/>
      <c r="B268" s="23" t="n"/>
      <c r="C268" s="29" t="n"/>
      <c r="D268" s="23" t="n"/>
      <c r="E268" s="31">
        <f>IF($D268="","",IFERROR(VLOOKUP($D268,'Base produits'!$B$5:$F$91,5,FALSE),""))</f>
        <v/>
      </c>
      <c r="F268" s="23" t="n"/>
      <c r="G268" s="21">
        <f>IF($D268="","",IFERROR(IF(VLOOKUP($D268,'Base produits'!$B$5:$J$91,9,FALSE)="","",VLOOKUP($D268,'Base produits'!$B$5:$J$91,9,FALSE)),""))</f>
        <v/>
      </c>
      <c r="H268" s="32" t="n"/>
      <c r="I268" s="21">
        <f>IF(OR($D268="",$F268="",$G268=""),"",$F268*$G268*(1-IFERROR($H268,0)))</f>
        <v/>
      </c>
      <c r="J268" s="21">
        <f>IF(OR($D268="",$F268="",$G268=""),"",($G268-IFERROR(VLOOKUP($D268,'Base produits'!$B$5:$H$91,7,FALSE),0))*$F268*(1-IFERROR($H268,0)))</f>
        <v/>
      </c>
      <c r="K268" s="23" t="n"/>
      <c r="L268" s="29" t="n"/>
    </row>
    <row r="269" ht="23" customHeight="1">
      <c r="A269" s="30" t="n"/>
      <c r="B269" s="23" t="n"/>
      <c r="C269" s="29" t="n"/>
      <c r="D269" s="23" t="n"/>
      <c r="E269" s="31">
        <f>IF($D269="","",IFERROR(VLOOKUP($D269,'Base produits'!$B$5:$F$91,5,FALSE),""))</f>
        <v/>
      </c>
      <c r="F269" s="23" t="n"/>
      <c r="G269" s="21">
        <f>IF($D269="","",IFERROR(IF(VLOOKUP($D269,'Base produits'!$B$5:$J$91,9,FALSE)="","",VLOOKUP($D269,'Base produits'!$B$5:$J$91,9,FALSE)),""))</f>
        <v/>
      </c>
      <c r="H269" s="32" t="n"/>
      <c r="I269" s="21">
        <f>IF(OR($D269="",$F269="",$G269=""),"",$F269*$G269*(1-IFERROR($H269,0)))</f>
        <v/>
      </c>
      <c r="J269" s="21">
        <f>IF(OR($D269="",$F269="",$G269=""),"",($G269-IFERROR(VLOOKUP($D269,'Base produits'!$B$5:$H$91,7,FALSE),0))*$F269*(1-IFERROR($H269,0)))</f>
        <v/>
      </c>
      <c r="K269" s="23" t="n"/>
      <c r="L269" s="29" t="n"/>
    </row>
    <row r="270" ht="23" customHeight="1">
      <c r="A270" s="30" t="n"/>
      <c r="B270" s="23" t="n"/>
      <c r="C270" s="29" t="n"/>
      <c r="D270" s="23" t="n"/>
      <c r="E270" s="31">
        <f>IF($D270="","",IFERROR(VLOOKUP($D270,'Base produits'!$B$5:$F$91,5,FALSE),""))</f>
        <v/>
      </c>
      <c r="F270" s="23" t="n"/>
      <c r="G270" s="21">
        <f>IF($D270="","",IFERROR(IF(VLOOKUP($D270,'Base produits'!$B$5:$J$91,9,FALSE)="","",VLOOKUP($D270,'Base produits'!$B$5:$J$91,9,FALSE)),""))</f>
        <v/>
      </c>
      <c r="H270" s="32" t="n"/>
      <c r="I270" s="21">
        <f>IF(OR($D270="",$F270="",$G270=""),"",$F270*$G270*(1-IFERROR($H270,0)))</f>
        <v/>
      </c>
      <c r="J270" s="21">
        <f>IF(OR($D270="",$F270="",$G270=""),"",($G270-IFERROR(VLOOKUP($D270,'Base produits'!$B$5:$H$91,7,FALSE),0))*$F270*(1-IFERROR($H270,0)))</f>
        <v/>
      </c>
      <c r="K270" s="23" t="n"/>
      <c r="L270" s="29" t="n"/>
    </row>
    <row r="271" ht="23" customHeight="1">
      <c r="A271" s="30" t="n"/>
      <c r="B271" s="23" t="n"/>
      <c r="C271" s="29" t="n"/>
      <c r="D271" s="23" t="n"/>
      <c r="E271" s="31">
        <f>IF($D271="","",IFERROR(VLOOKUP($D271,'Base produits'!$B$5:$F$91,5,FALSE),""))</f>
        <v/>
      </c>
      <c r="F271" s="23" t="n"/>
      <c r="G271" s="21">
        <f>IF($D271="","",IFERROR(IF(VLOOKUP($D271,'Base produits'!$B$5:$J$91,9,FALSE)="","",VLOOKUP($D271,'Base produits'!$B$5:$J$91,9,FALSE)),""))</f>
        <v/>
      </c>
      <c r="H271" s="32" t="n"/>
      <c r="I271" s="21">
        <f>IF(OR($D271="",$F271="",$G271=""),"",$F271*$G271*(1-IFERROR($H271,0)))</f>
        <v/>
      </c>
      <c r="J271" s="21">
        <f>IF(OR($D271="",$F271="",$G271=""),"",($G271-IFERROR(VLOOKUP($D271,'Base produits'!$B$5:$H$91,7,FALSE),0))*$F271*(1-IFERROR($H271,0)))</f>
        <v/>
      </c>
      <c r="K271" s="23" t="n"/>
      <c r="L271" s="29" t="n"/>
    </row>
    <row r="272" ht="23" customHeight="1">
      <c r="A272" s="30" t="n"/>
      <c r="B272" s="23" t="n"/>
      <c r="C272" s="29" t="n"/>
      <c r="D272" s="23" t="n"/>
      <c r="E272" s="31">
        <f>IF($D272="","",IFERROR(VLOOKUP($D272,'Base produits'!$B$5:$F$91,5,FALSE),""))</f>
        <v/>
      </c>
      <c r="F272" s="23" t="n"/>
      <c r="G272" s="21">
        <f>IF($D272="","",IFERROR(IF(VLOOKUP($D272,'Base produits'!$B$5:$J$91,9,FALSE)="","",VLOOKUP($D272,'Base produits'!$B$5:$J$91,9,FALSE)),""))</f>
        <v/>
      </c>
      <c r="H272" s="32" t="n"/>
      <c r="I272" s="21">
        <f>IF(OR($D272="",$F272="",$G272=""),"",$F272*$G272*(1-IFERROR($H272,0)))</f>
        <v/>
      </c>
      <c r="J272" s="21">
        <f>IF(OR($D272="",$F272="",$G272=""),"",($G272-IFERROR(VLOOKUP($D272,'Base produits'!$B$5:$H$91,7,FALSE),0))*$F272*(1-IFERROR($H272,0)))</f>
        <v/>
      </c>
      <c r="K272" s="23" t="n"/>
      <c r="L272" s="29" t="n"/>
    </row>
    <row r="273" ht="23" customHeight="1">
      <c r="A273" s="30" t="n"/>
      <c r="B273" s="23" t="n"/>
      <c r="C273" s="29" t="n"/>
      <c r="D273" s="23" t="n"/>
      <c r="E273" s="31">
        <f>IF($D273="","",IFERROR(VLOOKUP($D273,'Base produits'!$B$5:$F$91,5,FALSE),""))</f>
        <v/>
      </c>
      <c r="F273" s="23" t="n"/>
      <c r="G273" s="21">
        <f>IF($D273="","",IFERROR(IF(VLOOKUP($D273,'Base produits'!$B$5:$J$91,9,FALSE)="","",VLOOKUP($D273,'Base produits'!$B$5:$J$91,9,FALSE)),""))</f>
        <v/>
      </c>
      <c r="H273" s="32" t="n"/>
      <c r="I273" s="21">
        <f>IF(OR($D273="",$F273="",$G273=""),"",$F273*$G273*(1-IFERROR($H273,0)))</f>
        <v/>
      </c>
      <c r="J273" s="21">
        <f>IF(OR($D273="",$F273="",$G273=""),"",($G273-IFERROR(VLOOKUP($D273,'Base produits'!$B$5:$H$91,7,FALSE),0))*$F273*(1-IFERROR($H273,0)))</f>
        <v/>
      </c>
      <c r="K273" s="23" t="n"/>
      <c r="L273" s="29" t="n"/>
    </row>
    <row r="274" ht="23" customHeight="1">
      <c r="A274" s="30" t="n"/>
      <c r="B274" s="23" t="n"/>
      <c r="C274" s="29" t="n"/>
      <c r="D274" s="23" t="n"/>
      <c r="E274" s="31">
        <f>IF($D274="","",IFERROR(VLOOKUP($D274,'Base produits'!$B$5:$F$91,5,FALSE),""))</f>
        <v/>
      </c>
      <c r="F274" s="23" t="n"/>
      <c r="G274" s="21">
        <f>IF($D274="","",IFERROR(IF(VLOOKUP($D274,'Base produits'!$B$5:$J$91,9,FALSE)="","",VLOOKUP($D274,'Base produits'!$B$5:$J$91,9,FALSE)),""))</f>
        <v/>
      </c>
      <c r="H274" s="32" t="n"/>
      <c r="I274" s="21">
        <f>IF(OR($D274="",$F274="",$G274=""),"",$F274*$G274*(1-IFERROR($H274,0)))</f>
        <v/>
      </c>
      <c r="J274" s="21">
        <f>IF(OR($D274="",$F274="",$G274=""),"",($G274-IFERROR(VLOOKUP($D274,'Base produits'!$B$5:$H$91,7,FALSE),0))*$F274*(1-IFERROR($H274,0)))</f>
        <v/>
      </c>
      <c r="K274" s="23" t="n"/>
      <c r="L274" s="29" t="n"/>
    </row>
    <row r="275" ht="23" customHeight="1">
      <c r="A275" s="30" t="n"/>
      <c r="B275" s="23" t="n"/>
      <c r="C275" s="29" t="n"/>
      <c r="D275" s="23" t="n"/>
      <c r="E275" s="31">
        <f>IF($D275="","",IFERROR(VLOOKUP($D275,'Base produits'!$B$5:$F$91,5,FALSE),""))</f>
        <v/>
      </c>
      <c r="F275" s="23" t="n"/>
      <c r="G275" s="21">
        <f>IF($D275="","",IFERROR(IF(VLOOKUP($D275,'Base produits'!$B$5:$J$91,9,FALSE)="","",VLOOKUP($D275,'Base produits'!$B$5:$J$91,9,FALSE)),""))</f>
        <v/>
      </c>
      <c r="H275" s="32" t="n"/>
      <c r="I275" s="21">
        <f>IF(OR($D275="",$F275="",$G275=""),"",$F275*$G275*(1-IFERROR($H275,0)))</f>
        <v/>
      </c>
      <c r="J275" s="21">
        <f>IF(OR($D275="",$F275="",$G275=""),"",($G275-IFERROR(VLOOKUP($D275,'Base produits'!$B$5:$H$91,7,FALSE),0))*$F275*(1-IFERROR($H275,0)))</f>
        <v/>
      </c>
      <c r="K275" s="23" t="n"/>
      <c r="L275" s="29" t="n"/>
    </row>
    <row r="276" ht="23" customHeight="1">
      <c r="A276" s="30" t="n"/>
      <c r="B276" s="23" t="n"/>
      <c r="C276" s="29" t="n"/>
      <c r="D276" s="23" t="n"/>
      <c r="E276" s="31">
        <f>IF($D276="","",IFERROR(VLOOKUP($D276,'Base produits'!$B$5:$F$91,5,FALSE),""))</f>
        <v/>
      </c>
      <c r="F276" s="23" t="n"/>
      <c r="G276" s="21">
        <f>IF($D276="","",IFERROR(IF(VLOOKUP($D276,'Base produits'!$B$5:$J$91,9,FALSE)="","",VLOOKUP($D276,'Base produits'!$B$5:$J$91,9,FALSE)),""))</f>
        <v/>
      </c>
      <c r="H276" s="32" t="n"/>
      <c r="I276" s="21">
        <f>IF(OR($D276="",$F276="",$G276=""),"",$F276*$G276*(1-IFERROR($H276,0)))</f>
        <v/>
      </c>
      <c r="J276" s="21">
        <f>IF(OR($D276="",$F276="",$G276=""),"",($G276-IFERROR(VLOOKUP($D276,'Base produits'!$B$5:$H$91,7,FALSE),0))*$F276*(1-IFERROR($H276,0)))</f>
        <v/>
      </c>
      <c r="K276" s="23" t="n"/>
      <c r="L276" s="29" t="n"/>
    </row>
    <row r="277" ht="23" customHeight="1">
      <c r="A277" s="30" t="n"/>
      <c r="B277" s="23" t="n"/>
      <c r="C277" s="29" t="n"/>
      <c r="D277" s="23" t="n"/>
      <c r="E277" s="31">
        <f>IF($D277="","",IFERROR(VLOOKUP($D277,'Base produits'!$B$5:$F$91,5,FALSE),""))</f>
        <v/>
      </c>
      <c r="F277" s="23" t="n"/>
      <c r="G277" s="21">
        <f>IF($D277="","",IFERROR(IF(VLOOKUP($D277,'Base produits'!$B$5:$J$91,9,FALSE)="","",VLOOKUP($D277,'Base produits'!$B$5:$J$91,9,FALSE)),""))</f>
        <v/>
      </c>
      <c r="H277" s="32" t="n"/>
      <c r="I277" s="21">
        <f>IF(OR($D277="",$F277="",$G277=""),"",$F277*$G277*(1-IFERROR($H277,0)))</f>
        <v/>
      </c>
      <c r="J277" s="21">
        <f>IF(OR($D277="",$F277="",$G277=""),"",($G277-IFERROR(VLOOKUP($D277,'Base produits'!$B$5:$H$91,7,FALSE),0))*$F277*(1-IFERROR($H277,0)))</f>
        <v/>
      </c>
      <c r="K277" s="23" t="n"/>
      <c r="L277" s="29" t="n"/>
    </row>
    <row r="278" ht="23" customHeight="1">
      <c r="A278" s="30" t="n"/>
      <c r="B278" s="23" t="n"/>
      <c r="C278" s="29" t="n"/>
      <c r="D278" s="23" t="n"/>
      <c r="E278" s="31">
        <f>IF($D278="","",IFERROR(VLOOKUP($D278,'Base produits'!$B$5:$F$91,5,FALSE),""))</f>
        <v/>
      </c>
      <c r="F278" s="23" t="n"/>
      <c r="G278" s="21">
        <f>IF($D278="","",IFERROR(IF(VLOOKUP($D278,'Base produits'!$B$5:$J$91,9,FALSE)="","",VLOOKUP($D278,'Base produits'!$B$5:$J$91,9,FALSE)),""))</f>
        <v/>
      </c>
      <c r="H278" s="32" t="n"/>
      <c r="I278" s="21">
        <f>IF(OR($D278="",$F278="",$G278=""),"",$F278*$G278*(1-IFERROR($H278,0)))</f>
        <v/>
      </c>
      <c r="J278" s="21">
        <f>IF(OR($D278="",$F278="",$G278=""),"",($G278-IFERROR(VLOOKUP($D278,'Base produits'!$B$5:$H$91,7,FALSE),0))*$F278*(1-IFERROR($H278,0)))</f>
        <v/>
      </c>
      <c r="K278" s="23" t="n"/>
      <c r="L278" s="29" t="n"/>
    </row>
    <row r="279" ht="23" customHeight="1">
      <c r="A279" s="30" t="n"/>
      <c r="B279" s="23" t="n"/>
      <c r="C279" s="29" t="n"/>
      <c r="D279" s="23" t="n"/>
      <c r="E279" s="31">
        <f>IF($D279="","",IFERROR(VLOOKUP($D279,'Base produits'!$B$5:$F$91,5,FALSE),""))</f>
        <v/>
      </c>
      <c r="F279" s="23" t="n"/>
      <c r="G279" s="21">
        <f>IF($D279="","",IFERROR(IF(VLOOKUP($D279,'Base produits'!$B$5:$J$91,9,FALSE)="","",VLOOKUP($D279,'Base produits'!$B$5:$J$91,9,FALSE)),""))</f>
        <v/>
      </c>
      <c r="H279" s="32" t="n"/>
      <c r="I279" s="21">
        <f>IF(OR($D279="",$F279="",$G279=""),"",$F279*$G279*(1-IFERROR($H279,0)))</f>
        <v/>
      </c>
      <c r="J279" s="21">
        <f>IF(OR($D279="",$F279="",$G279=""),"",($G279-IFERROR(VLOOKUP($D279,'Base produits'!$B$5:$H$91,7,FALSE),0))*$F279*(1-IFERROR($H279,0)))</f>
        <v/>
      </c>
      <c r="K279" s="23" t="n"/>
      <c r="L279" s="29" t="n"/>
    </row>
    <row r="280" ht="23" customHeight="1">
      <c r="A280" s="30" t="n"/>
      <c r="B280" s="23" t="n"/>
      <c r="C280" s="29" t="n"/>
      <c r="D280" s="23" t="n"/>
      <c r="E280" s="31">
        <f>IF($D280="","",IFERROR(VLOOKUP($D280,'Base produits'!$B$5:$F$91,5,FALSE),""))</f>
        <v/>
      </c>
      <c r="F280" s="23" t="n"/>
      <c r="G280" s="21">
        <f>IF($D280="","",IFERROR(IF(VLOOKUP($D280,'Base produits'!$B$5:$J$91,9,FALSE)="","",VLOOKUP($D280,'Base produits'!$B$5:$J$91,9,FALSE)),""))</f>
        <v/>
      </c>
      <c r="H280" s="32" t="n"/>
      <c r="I280" s="21">
        <f>IF(OR($D280="",$F280="",$G280=""),"",$F280*$G280*(1-IFERROR($H280,0)))</f>
        <v/>
      </c>
      <c r="J280" s="21">
        <f>IF(OR($D280="",$F280="",$G280=""),"",($G280-IFERROR(VLOOKUP($D280,'Base produits'!$B$5:$H$91,7,FALSE),0))*$F280*(1-IFERROR($H280,0)))</f>
        <v/>
      </c>
      <c r="K280" s="23" t="n"/>
      <c r="L280" s="29" t="n"/>
    </row>
    <row r="281" ht="23" customHeight="1">
      <c r="A281" s="30" t="n"/>
      <c r="B281" s="23" t="n"/>
      <c r="C281" s="29" t="n"/>
      <c r="D281" s="23" t="n"/>
      <c r="E281" s="31">
        <f>IF($D281="","",IFERROR(VLOOKUP($D281,'Base produits'!$B$5:$F$91,5,FALSE),""))</f>
        <v/>
      </c>
      <c r="F281" s="23" t="n"/>
      <c r="G281" s="21">
        <f>IF($D281="","",IFERROR(IF(VLOOKUP($D281,'Base produits'!$B$5:$J$91,9,FALSE)="","",VLOOKUP($D281,'Base produits'!$B$5:$J$91,9,FALSE)),""))</f>
        <v/>
      </c>
      <c r="H281" s="32" t="n"/>
      <c r="I281" s="21">
        <f>IF(OR($D281="",$F281="",$G281=""),"",$F281*$G281*(1-IFERROR($H281,0)))</f>
        <v/>
      </c>
      <c r="J281" s="21">
        <f>IF(OR($D281="",$F281="",$G281=""),"",($G281-IFERROR(VLOOKUP($D281,'Base produits'!$B$5:$H$91,7,FALSE),0))*$F281*(1-IFERROR($H281,0)))</f>
        <v/>
      </c>
      <c r="K281" s="23" t="n"/>
      <c r="L281" s="29" t="n"/>
    </row>
    <row r="282" ht="23" customHeight="1">
      <c r="A282" s="30" t="n"/>
      <c r="B282" s="23" t="n"/>
      <c r="C282" s="29" t="n"/>
      <c r="D282" s="23" t="n"/>
      <c r="E282" s="31">
        <f>IF($D282="","",IFERROR(VLOOKUP($D282,'Base produits'!$B$5:$F$91,5,FALSE),""))</f>
        <v/>
      </c>
      <c r="F282" s="23" t="n"/>
      <c r="G282" s="21">
        <f>IF($D282="","",IFERROR(IF(VLOOKUP($D282,'Base produits'!$B$5:$J$91,9,FALSE)="","",VLOOKUP($D282,'Base produits'!$B$5:$J$91,9,FALSE)),""))</f>
        <v/>
      </c>
      <c r="H282" s="32" t="n"/>
      <c r="I282" s="21">
        <f>IF(OR($D282="",$F282="",$G282=""),"",$F282*$G282*(1-IFERROR($H282,0)))</f>
        <v/>
      </c>
      <c r="J282" s="21">
        <f>IF(OR($D282="",$F282="",$G282=""),"",($G282-IFERROR(VLOOKUP($D282,'Base produits'!$B$5:$H$91,7,FALSE),0))*$F282*(1-IFERROR($H282,0)))</f>
        <v/>
      </c>
      <c r="K282" s="23" t="n"/>
      <c r="L282" s="29" t="n"/>
    </row>
    <row r="283" ht="23" customHeight="1">
      <c r="A283" s="30" t="n"/>
      <c r="B283" s="23" t="n"/>
      <c r="C283" s="29" t="n"/>
      <c r="D283" s="23" t="n"/>
      <c r="E283" s="31">
        <f>IF($D283="","",IFERROR(VLOOKUP($D283,'Base produits'!$B$5:$F$91,5,FALSE),""))</f>
        <v/>
      </c>
      <c r="F283" s="23" t="n"/>
      <c r="G283" s="21">
        <f>IF($D283="","",IFERROR(IF(VLOOKUP($D283,'Base produits'!$B$5:$J$91,9,FALSE)="","",VLOOKUP($D283,'Base produits'!$B$5:$J$91,9,FALSE)),""))</f>
        <v/>
      </c>
      <c r="H283" s="32" t="n"/>
      <c r="I283" s="21">
        <f>IF(OR($D283="",$F283="",$G283=""),"",$F283*$G283*(1-IFERROR($H283,0)))</f>
        <v/>
      </c>
      <c r="J283" s="21">
        <f>IF(OR($D283="",$F283="",$G283=""),"",($G283-IFERROR(VLOOKUP($D283,'Base produits'!$B$5:$H$91,7,FALSE),0))*$F283*(1-IFERROR($H283,0)))</f>
        <v/>
      </c>
      <c r="K283" s="23" t="n"/>
      <c r="L283" s="29" t="n"/>
    </row>
    <row r="284" ht="23" customHeight="1">
      <c r="A284" s="30" t="n"/>
      <c r="B284" s="23" t="n"/>
      <c r="C284" s="29" t="n"/>
      <c r="D284" s="23" t="n"/>
      <c r="E284" s="31">
        <f>IF($D284="","",IFERROR(VLOOKUP($D284,'Base produits'!$B$5:$F$91,5,FALSE),""))</f>
        <v/>
      </c>
      <c r="F284" s="23" t="n"/>
      <c r="G284" s="21">
        <f>IF($D284="","",IFERROR(IF(VLOOKUP($D284,'Base produits'!$B$5:$J$91,9,FALSE)="","",VLOOKUP($D284,'Base produits'!$B$5:$J$91,9,FALSE)),""))</f>
        <v/>
      </c>
      <c r="H284" s="32" t="n"/>
      <c r="I284" s="21">
        <f>IF(OR($D284="",$F284="",$G284=""),"",$F284*$G284*(1-IFERROR($H284,0)))</f>
        <v/>
      </c>
      <c r="J284" s="21">
        <f>IF(OR($D284="",$F284="",$G284=""),"",($G284-IFERROR(VLOOKUP($D284,'Base produits'!$B$5:$H$91,7,FALSE),0))*$F284*(1-IFERROR($H284,0)))</f>
        <v/>
      </c>
      <c r="K284" s="23" t="n"/>
      <c r="L284" s="29" t="n"/>
    </row>
    <row r="285" ht="23" customHeight="1">
      <c r="A285" s="30" t="n"/>
      <c r="B285" s="23" t="n"/>
      <c r="C285" s="29" t="n"/>
      <c r="D285" s="23" t="n"/>
      <c r="E285" s="31">
        <f>IF($D285="","",IFERROR(VLOOKUP($D285,'Base produits'!$B$5:$F$91,5,FALSE),""))</f>
        <v/>
      </c>
      <c r="F285" s="23" t="n"/>
      <c r="G285" s="21">
        <f>IF($D285="","",IFERROR(IF(VLOOKUP($D285,'Base produits'!$B$5:$J$91,9,FALSE)="","",VLOOKUP($D285,'Base produits'!$B$5:$J$91,9,FALSE)),""))</f>
        <v/>
      </c>
      <c r="H285" s="32" t="n"/>
      <c r="I285" s="21">
        <f>IF(OR($D285="",$F285="",$G285=""),"",$F285*$G285*(1-IFERROR($H285,0)))</f>
        <v/>
      </c>
      <c r="J285" s="21">
        <f>IF(OR($D285="",$F285="",$G285=""),"",($G285-IFERROR(VLOOKUP($D285,'Base produits'!$B$5:$H$91,7,FALSE),0))*$F285*(1-IFERROR($H285,0)))</f>
        <v/>
      </c>
      <c r="K285" s="23" t="n"/>
      <c r="L285" s="29" t="n"/>
    </row>
    <row r="286" ht="23" customHeight="1">
      <c r="A286" s="30" t="n"/>
      <c r="B286" s="23" t="n"/>
      <c r="C286" s="29" t="n"/>
      <c r="D286" s="23" t="n"/>
      <c r="E286" s="31">
        <f>IF($D286="","",IFERROR(VLOOKUP($D286,'Base produits'!$B$5:$F$91,5,FALSE),""))</f>
        <v/>
      </c>
      <c r="F286" s="23" t="n"/>
      <c r="G286" s="21">
        <f>IF($D286="","",IFERROR(IF(VLOOKUP($D286,'Base produits'!$B$5:$J$91,9,FALSE)="","",VLOOKUP($D286,'Base produits'!$B$5:$J$91,9,FALSE)),""))</f>
        <v/>
      </c>
      <c r="H286" s="32" t="n"/>
      <c r="I286" s="21">
        <f>IF(OR($D286="",$F286="",$G286=""),"",$F286*$G286*(1-IFERROR($H286,0)))</f>
        <v/>
      </c>
      <c r="J286" s="21">
        <f>IF(OR($D286="",$F286="",$G286=""),"",($G286-IFERROR(VLOOKUP($D286,'Base produits'!$B$5:$H$91,7,FALSE),0))*$F286*(1-IFERROR($H286,0)))</f>
        <v/>
      </c>
      <c r="K286" s="23" t="n"/>
      <c r="L286" s="29" t="n"/>
    </row>
    <row r="287" ht="23" customHeight="1">
      <c r="A287" s="30" t="n"/>
      <c r="B287" s="23" t="n"/>
      <c r="C287" s="29" t="n"/>
      <c r="D287" s="23" t="n"/>
      <c r="E287" s="31">
        <f>IF($D287="","",IFERROR(VLOOKUP($D287,'Base produits'!$B$5:$F$91,5,FALSE),""))</f>
        <v/>
      </c>
      <c r="F287" s="23" t="n"/>
      <c r="G287" s="21">
        <f>IF($D287="","",IFERROR(IF(VLOOKUP($D287,'Base produits'!$B$5:$J$91,9,FALSE)="","",VLOOKUP($D287,'Base produits'!$B$5:$J$91,9,FALSE)),""))</f>
        <v/>
      </c>
      <c r="H287" s="32" t="n"/>
      <c r="I287" s="21">
        <f>IF(OR($D287="",$F287="",$G287=""),"",$F287*$G287*(1-IFERROR($H287,0)))</f>
        <v/>
      </c>
      <c r="J287" s="21">
        <f>IF(OR($D287="",$F287="",$G287=""),"",($G287-IFERROR(VLOOKUP($D287,'Base produits'!$B$5:$H$91,7,FALSE),0))*$F287*(1-IFERROR($H287,0)))</f>
        <v/>
      </c>
      <c r="K287" s="23" t="n"/>
      <c r="L287" s="29" t="n"/>
    </row>
    <row r="288" ht="23" customHeight="1">
      <c r="A288" s="30" t="n"/>
      <c r="B288" s="23" t="n"/>
      <c r="C288" s="29" t="n"/>
      <c r="D288" s="23" t="n"/>
      <c r="E288" s="31">
        <f>IF($D288="","",IFERROR(VLOOKUP($D288,'Base produits'!$B$5:$F$91,5,FALSE),""))</f>
        <v/>
      </c>
      <c r="F288" s="23" t="n"/>
      <c r="G288" s="21">
        <f>IF($D288="","",IFERROR(IF(VLOOKUP($D288,'Base produits'!$B$5:$J$91,9,FALSE)="","",VLOOKUP($D288,'Base produits'!$B$5:$J$91,9,FALSE)),""))</f>
        <v/>
      </c>
      <c r="H288" s="32" t="n"/>
      <c r="I288" s="21">
        <f>IF(OR($D288="",$F288="",$G288=""),"",$F288*$G288*(1-IFERROR($H288,0)))</f>
        <v/>
      </c>
      <c r="J288" s="21">
        <f>IF(OR($D288="",$F288="",$G288=""),"",($G288-IFERROR(VLOOKUP($D288,'Base produits'!$B$5:$H$91,7,FALSE),0))*$F288*(1-IFERROR($H288,0)))</f>
        <v/>
      </c>
      <c r="K288" s="23" t="n"/>
      <c r="L288" s="29" t="n"/>
    </row>
    <row r="289" ht="23" customHeight="1">
      <c r="A289" s="30" t="n"/>
      <c r="B289" s="23" t="n"/>
      <c r="C289" s="29" t="n"/>
      <c r="D289" s="23" t="n"/>
      <c r="E289" s="31">
        <f>IF($D289="","",IFERROR(VLOOKUP($D289,'Base produits'!$B$5:$F$91,5,FALSE),""))</f>
        <v/>
      </c>
      <c r="F289" s="23" t="n"/>
      <c r="G289" s="21">
        <f>IF($D289="","",IFERROR(IF(VLOOKUP($D289,'Base produits'!$B$5:$J$91,9,FALSE)="","",VLOOKUP($D289,'Base produits'!$B$5:$J$91,9,FALSE)),""))</f>
        <v/>
      </c>
      <c r="H289" s="32" t="n"/>
      <c r="I289" s="21">
        <f>IF(OR($D289="",$F289="",$G289=""),"",$F289*$G289*(1-IFERROR($H289,0)))</f>
        <v/>
      </c>
      <c r="J289" s="21">
        <f>IF(OR($D289="",$F289="",$G289=""),"",($G289-IFERROR(VLOOKUP($D289,'Base produits'!$B$5:$H$91,7,FALSE),0))*$F289*(1-IFERROR($H289,0)))</f>
        <v/>
      </c>
      <c r="K289" s="23" t="n"/>
      <c r="L289" s="29" t="n"/>
    </row>
    <row r="290" ht="23" customHeight="1">
      <c r="A290" s="30" t="n"/>
      <c r="B290" s="23" t="n"/>
      <c r="C290" s="29" t="n"/>
      <c r="D290" s="23" t="n"/>
      <c r="E290" s="31">
        <f>IF($D290="","",IFERROR(VLOOKUP($D290,'Base produits'!$B$5:$F$91,5,FALSE),""))</f>
        <v/>
      </c>
      <c r="F290" s="23" t="n"/>
      <c r="G290" s="21">
        <f>IF($D290="","",IFERROR(IF(VLOOKUP($D290,'Base produits'!$B$5:$J$91,9,FALSE)="","",VLOOKUP($D290,'Base produits'!$B$5:$J$91,9,FALSE)),""))</f>
        <v/>
      </c>
      <c r="H290" s="32" t="n"/>
      <c r="I290" s="21">
        <f>IF(OR($D290="",$F290="",$G290=""),"",$F290*$G290*(1-IFERROR($H290,0)))</f>
        <v/>
      </c>
      <c r="J290" s="21">
        <f>IF(OR($D290="",$F290="",$G290=""),"",($G290-IFERROR(VLOOKUP($D290,'Base produits'!$B$5:$H$91,7,FALSE),0))*$F290*(1-IFERROR($H290,0)))</f>
        <v/>
      </c>
      <c r="K290" s="23" t="n"/>
      <c r="L290" s="29" t="n"/>
    </row>
    <row r="291" ht="23" customHeight="1">
      <c r="A291" s="30" t="n"/>
      <c r="B291" s="23" t="n"/>
      <c r="C291" s="29" t="n"/>
      <c r="D291" s="23" t="n"/>
      <c r="E291" s="31">
        <f>IF($D291="","",IFERROR(VLOOKUP($D291,'Base produits'!$B$5:$F$91,5,FALSE),""))</f>
        <v/>
      </c>
      <c r="F291" s="23" t="n"/>
      <c r="G291" s="21">
        <f>IF($D291="","",IFERROR(IF(VLOOKUP($D291,'Base produits'!$B$5:$J$91,9,FALSE)="","",VLOOKUP($D291,'Base produits'!$B$5:$J$91,9,FALSE)),""))</f>
        <v/>
      </c>
      <c r="H291" s="32" t="n"/>
      <c r="I291" s="21">
        <f>IF(OR($D291="",$F291="",$G291=""),"",$F291*$G291*(1-IFERROR($H291,0)))</f>
        <v/>
      </c>
      <c r="J291" s="21">
        <f>IF(OR($D291="",$F291="",$G291=""),"",($G291-IFERROR(VLOOKUP($D291,'Base produits'!$B$5:$H$91,7,FALSE),0))*$F291*(1-IFERROR($H291,0)))</f>
        <v/>
      </c>
      <c r="K291" s="23" t="n"/>
      <c r="L291" s="29" t="n"/>
    </row>
    <row r="292" ht="23" customHeight="1">
      <c r="A292" s="30" t="n"/>
      <c r="B292" s="23" t="n"/>
      <c r="C292" s="29" t="n"/>
      <c r="D292" s="23" t="n"/>
      <c r="E292" s="31">
        <f>IF($D292="","",IFERROR(VLOOKUP($D292,'Base produits'!$B$5:$F$91,5,FALSE),""))</f>
        <v/>
      </c>
      <c r="F292" s="23" t="n"/>
      <c r="G292" s="21">
        <f>IF($D292="","",IFERROR(IF(VLOOKUP($D292,'Base produits'!$B$5:$J$91,9,FALSE)="","",VLOOKUP($D292,'Base produits'!$B$5:$J$91,9,FALSE)),""))</f>
        <v/>
      </c>
      <c r="H292" s="32" t="n"/>
      <c r="I292" s="21">
        <f>IF(OR($D292="",$F292="",$G292=""),"",$F292*$G292*(1-IFERROR($H292,0)))</f>
        <v/>
      </c>
      <c r="J292" s="21">
        <f>IF(OR($D292="",$F292="",$G292=""),"",($G292-IFERROR(VLOOKUP($D292,'Base produits'!$B$5:$H$91,7,FALSE),0))*$F292*(1-IFERROR($H292,0)))</f>
        <v/>
      </c>
      <c r="K292" s="23" t="n"/>
      <c r="L292" s="29" t="n"/>
    </row>
    <row r="293" ht="23" customHeight="1">
      <c r="A293" s="30" t="n"/>
      <c r="B293" s="23" t="n"/>
      <c r="C293" s="29" t="n"/>
      <c r="D293" s="23" t="n"/>
      <c r="E293" s="31">
        <f>IF($D293="","",IFERROR(VLOOKUP($D293,'Base produits'!$B$5:$F$91,5,FALSE),""))</f>
        <v/>
      </c>
      <c r="F293" s="23" t="n"/>
      <c r="G293" s="21">
        <f>IF($D293="","",IFERROR(IF(VLOOKUP($D293,'Base produits'!$B$5:$J$91,9,FALSE)="","",VLOOKUP($D293,'Base produits'!$B$5:$J$91,9,FALSE)),""))</f>
        <v/>
      </c>
      <c r="H293" s="32" t="n"/>
      <c r="I293" s="21">
        <f>IF(OR($D293="",$F293="",$G293=""),"",$F293*$G293*(1-IFERROR($H293,0)))</f>
        <v/>
      </c>
      <c r="J293" s="21">
        <f>IF(OR($D293="",$F293="",$G293=""),"",($G293-IFERROR(VLOOKUP($D293,'Base produits'!$B$5:$H$91,7,FALSE),0))*$F293*(1-IFERROR($H293,0)))</f>
        <v/>
      </c>
      <c r="K293" s="23" t="n"/>
      <c r="L293" s="29" t="n"/>
    </row>
    <row r="294" ht="23" customHeight="1">
      <c r="A294" s="30" t="n"/>
      <c r="B294" s="23" t="n"/>
      <c r="C294" s="29" t="n"/>
      <c r="D294" s="23" t="n"/>
      <c r="E294" s="31">
        <f>IF($D294="","",IFERROR(VLOOKUP($D294,'Base produits'!$B$5:$F$91,5,FALSE),""))</f>
        <v/>
      </c>
      <c r="F294" s="23" t="n"/>
      <c r="G294" s="21">
        <f>IF($D294="","",IFERROR(IF(VLOOKUP($D294,'Base produits'!$B$5:$J$91,9,FALSE)="","",VLOOKUP($D294,'Base produits'!$B$5:$J$91,9,FALSE)),""))</f>
        <v/>
      </c>
      <c r="H294" s="32" t="n"/>
      <c r="I294" s="21">
        <f>IF(OR($D294="",$F294="",$G294=""),"",$F294*$G294*(1-IFERROR($H294,0)))</f>
        <v/>
      </c>
      <c r="J294" s="21">
        <f>IF(OR($D294="",$F294="",$G294=""),"",($G294-IFERROR(VLOOKUP($D294,'Base produits'!$B$5:$H$91,7,FALSE),0))*$F294*(1-IFERROR($H294,0)))</f>
        <v/>
      </c>
      <c r="K294" s="23" t="n"/>
      <c r="L294" s="29" t="n"/>
    </row>
    <row r="295" ht="23" customHeight="1">
      <c r="A295" s="30" t="n"/>
      <c r="B295" s="23" t="n"/>
      <c r="C295" s="29" t="n"/>
      <c r="D295" s="23" t="n"/>
      <c r="E295" s="31">
        <f>IF($D295="","",IFERROR(VLOOKUP($D295,'Base produits'!$B$5:$F$91,5,FALSE),""))</f>
        <v/>
      </c>
      <c r="F295" s="23" t="n"/>
      <c r="G295" s="21">
        <f>IF($D295="","",IFERROR(IF(VLOOKUP($D295,'Base produits'!$B$5:$J$91,9,FALSE)="","",VLOOKUP($D295,'Base produits'!$B$5:$J$91,9,FALSE)),""))</f>
        <v/>
      </c>
      <c r="H295" s="32" t="n"/>
      <c r="I295" s="21">
        <f>IF(OR($D295="",$F295="",$G295=""),"",$F295*$G295*(1-IFERROR($H295,0)))</f>
        <v/>
      </c>
      <c r="J295" s="21">
        <f>IF(OR($D295="",$F295="",$G295=""),"",($G295-IFERROR(VLOOKUP($D295,'Base produits'!$B$5:$H$91,7,FALSE),0))*$F295*(1-IFERROR($H295,0)))</f>
        <v/>
      </c>
      <c r="K295" s="23" t="n"/>
      <c r="L295" s="29" t="n"/>
    </row>
    <row r="296" ht="23" customHeight="1">
      <c r="A296" s="30" t="n"/>
      <c r="B296" s="23" t="n"/>
      <c r="C296" s="29" t="n"/>
      <c r="D296" s="23" t="n"/>
      <c r="E296" s="31">
        <f>IF($D296="","",IFERROR(VLOOKUP($D296,'Base produits'!$B$5:$F$91,5,FALSE),""))</f>
        <v/>
      </c>
      <c r="F296" s="23" t="n"/>
      <c r="G296" s="21">
        <f>IF($D296="","",IFERROR(IF(VLOOKUP($D296,'Base produits'!$B$5:$J$91,9,FALSE)="","",VLOOKUP($D296,'Base produits'!$B$5:$J$91,9,FALSE)),""))</f>
        <v/>
      </c>
      <c r="H296" s="32" t="n"/>
      <c r="I296" s="21">
        <f>IF(OR($D296="",$F296="",$G296=""),"",$F296*$G296*(1-IFERROR($H296,0)))</f>
        <v/>
      </c>
      <c r="J296" s="21">
        <f>IF(OR($D296="",$F296="",$G296=""),"",($G296-IFERROR(VLOOKUP($D296,'Base produits'!$B$5:$H$91,7,FALSE),0))*$F296*(1-IFERROR($H296,0)))</f>
        <v/>
      </c>
      <c r="K296" s="23" t="n"/>
      <c r="L296" s="29" t="n"/>
    </row>
    <row r="297" ht="23" customHeight="1">
      <c r="A297" s="30" t="n"/>
      <c r="B297" s="23" t="n"/>
      <c r="C297" s="29" t="n"/>
      <c r="D297" s="23" t="n"/>
      <c r="E297" s="31">
        <f>IF($D297="","",IFERROR(VLOOKUP($D297,'Base produits'!$B$5:$F$91,5,FALSE),""))</f>
        <v/>
      </c>
      <c r="F297" s="23" t="n"/>
      <c r="G297" s="21">
        <f>IF($D297="","",IFERROR(IF(VLOOKUP($D297,'Base produits'!$B$5:$J$91,9,FALSE)="","",VLOOKUP($D297,'Base produits'!$B$5:$J$91,9,FALSE)),""))</f>
        <v/>
      </c>
      <c r="H297" s="32" t="n"/>
      <c r="I297" s="21">
        <f>IF(OR($D297="",$F297="",$G297=""),"",$F297*$G297*(1-IFERROR($H297,0)))</f>
        <v/>
      </c>
      <c r="J297" s="21">
        <f>IF(OR($D297="",$F297="",$G297=""),"",($G297-IFERROR(VLOOKUP($D297,'Base produits'!$B$5:$H$91,7,FALSE),0))*$F297*(1-IFERROR($H297,0)))</f>
        <v/>
      </c>
      <c r="K297" s="23" t="n"/>
      <c r="L297" s="29" t="n"/>
    </row>
    <row r="298" ht="23" customHeight="1">
      <c r="A298" s="30" t="n"/>
      <c r="B298" s="23" t="n"/>
      <c r="C298" s="29" t="n"/>
      <c r="D298" s="23" t="n"/>
      <c r="E298" s="31">
        <f>IF($D298="","",IFERROR(VLOOKUP($D298,'Base produits'!$B$5:$F$91,5,FALSE),""))</f>
        <v/>
      </c>
      <c r="F298" s="23" t="n"/>
      <c r="G298" s="21">
        <f>IF($D298="","",IFERROR(IF(VLOOKUP($D298,'Base produits'!$B$5:$J$91,9,FALSE)="","",VLOOKUP($D298,'Base produits'!$B$5:$J$91,9,FALSE)),""))</f>
        <v/>
      </c>
      <c r="H298" s="32" t="n"/>
      <c r="I298" s="21">
        <f>IF(OR($D298="",$F298="",$G298=""),"",$F298*$G298*(1-IFERROR($H298,0)))</f>
        <v/>
      </c>
      <c r="J298" s="21">
        <f>IF(OR($D298="",$F298="",$G298=""),"",($G298-IFERROR(VLOOKUP($D298,'Base produits'!$B$5:$H$91,7,FALSE),0))*$F298*(1-IFERROR($H298,0)))</f>
        <v/>
      </c>
      <c r="K298" s="23" t="n"/>
      <c r="L298" s="29" t="n"/>
    </row>
    <row r="299" ht="23" customHeight="1">
      <c r="A299" s="30" t="n"/>
      <c r="B299" s="23" t="n"/>
      <c r="C299" s="29" t="n"/>
      <c r="D299" s="23" t="n"/>
      <c r="E299" s="31">
        <f>IF($D299="","",IFERROR(VLOOKUP($D299,'Base produits'!$B$5:$F$91,5,FALSE),""))</f>
        <v/>
      </c>
      <c r="F299" s="23" t="n"/>
      <c r="G299" s="21">
        <f>IF($D299="","",IFERROR(IF(VLOOKUP($D299,'Base produits'!$B$5:$J$91,9,FALSE)="","",VLOOKUP($D299,'Base produits'!$B$5:$J$91,9,FALSE)),""))</f>
        <v/>
      </c>
      <c r="H299" s="32" t="n"/>
      <c r="I299" s="21">
        <f>IF(OR($D299="",$F299="",$G299=""),"",$F299*$G299*(1-IFERROR($H299,0)))</f>
        <v/>
      </c>
      <c r="J299" s="21">
        <f>IF(OR($D299="",$F299="",$G299=""),"",($G299-IFERROR(VLOOKUP($D299,'Base produits'!$B$5:$H$91,7,FALSE),0))*$F299*(1-IFERROR($H299,0)))</f>
        <v/>
      </c>
      <c r="K299" s="23" t="n"/>
      <c r="L299" s="29" t="n"/>
    </row>
    <row r="300" ht="23" customHeight="1">
      <c r="A300" s="30" t="n"/>
      <c r="B300" s="23" t="n"/>
      <c r="C300" s="29" t="n"/>
      <c r="D300" s="23" t="n"/>
      <c r="E300" s="31">
        <f>IF($D300="","",IFERROR(VLOOKUP($D300,'Base produits'!$B$5:$F$91,5,FALSE),""))</f>
        <v/>
      </c>
      <c r="F300" s="23" t="n"/>
      <c r="G300" s="21">
        <f>IF($D300="","",IFERROR(IF(VLOOKUP($D300,'Base produits'!$B$5:$J$91,9,FALSE)="","",VLOOKUP($D300,'Base produits'!$B$5:$J$91,9,FALSE)),""))</f>
        <v/>
      </c>
      <c r="H300" s="32" t="n"/>
      <c r="I300" s="21">
        <f>IF(OR($D300="",$F300="",$G300=""),"",$F300*$G300*(1-IFERROR($H300,0)))</f>
        <v/>
      </c>
      <c r="J300" s="21">
        <f>IF(OR($D300="",$F300="",$G300=""),"",($G300-IFERROR(VLOOKUP($D300,'Base produits'!$B$5:$H$91,7,FALSE),0))*$F300*(1-IFERROR($H300,0)))</f>
        <v/>
      </c>
      <c r="K300" s="23" t="n"/>
      <c r="L300" s="29" t="n"/>
    </row>
    <row r="301" ht="23" customHeight="1">
      <c r="A301" s="30" t="n"/>
      <c r="B301" s="23" t="n"/>
      <c r="C301" s="29" t="n"/>
      <c r="D301" s="23" t="n"/>
      <c r="E301" s="31">
        <f>IF($D301="","",IFERROR(VLOOKUP($D301,'Base produits'!$B$5:$F$91,5,FALSE),""))</f>
        <v/>
      </c>
      <c r="F301" s="23" t="n"/>
      <c r="G301" s="21">
        <f>IF($D301="","",IFERROR(IF(VLOOKUP($D301,'Base produits'!$B$5:$J$91,9,FALSE)="","",VLOOKUP($D301,'Base produits'!$B$5:$J$91,9,FALSE)),""))</f>
        <v/>
      </c>
      <c r="H301" s="32" t="n"/>
      <c r="I301" s="21">
        <f>IF(OR($D301="",$F301="",$G301=""),"",$F301*$G301*(1-IFERROR($H301,0)))</f>
        <v/>
      </c>
      <c r="J301" s="21">
        <f>IF(OR($D301="",$F301="",$G301=""),"",($G301-IFERROR(VLOOKUP($D301,'Base produits'!$B$5:$H$91,7,FALSE),0))*$F301*(1-IFERROR($H301,0)))</f>
        <v/>
      </c>
      <c r="K301" s="23" t="n"/>
      <c r="L301" s="29" t="n"/>
    </row>
    <row r="302" ht="23" customHeight="1">
      <c r="A302" s="30" t="n"/>
      <c r="B302" s="23" t="n"/>
      <c r="C302" s="29" t="n"/>
      <c r="D302" s="23" t="n"/>
      <c r="E302" s="31">
        <f>IF($D302="","",IFERROR(VLOOKUP($D302,'Base produits'!$B$5:$F$91,5,FALSE),""))</f>
        <v/>
      </c>
      <c r="F302" s="23" t="n"/>
      <c r="G302" s="21">
        <f>IF($D302="","",IFERROR(IF(VLOOKUP($D302,'Base produits'!$B$5:$J$91,9,FALSE)="","",VLOOKUP($D302,'Base produits'!$B$5:$J$91,9,FALSE)),""))</f>
        <v/>
      </c>
      <c r="H302" s="32" t="n"/>
      <c r="I302" s="21">
        <f>IF(OR($D302="",$F302="",$G302=""),"",$F302*$G302*(1-IFERROR($H302,0)))</f>
        <v/>
      </c>
      <c r="J302" s="21">
        <f>IF(OR($D302="",$F302="",$G302=""),"",($G302-IFERROR(VLOOKUP($D302,'Base produits'!$B$5:$H$91,7,FALSE),0))*$F302*(1-IFERROR($H302,0)))</f>
        <v/>
      </c>
      <c r="K302" s="23" t="n"/>
      <c r="L302" s="29" t="n"/>
    </row>
    <row r="303" ht="23" customHeight="1">
      <c r="A303" s="30" t="n"/>
      <c r="B303" s="23" t="n"/>
      <c r="C303" s="29" t="n"/>
      <c r="D303" s="23" t="n"/>
      <c r="E303" s="31">
        <f>IF($D303="","",IFERROR(VLOOKUP($D303,'Base produits'!$B$5:$F$91,5,FALSE),""))</f>
        <v/>
      </c>
      <c r="F303" s="23" t="n"/>
      <c r="G303" s="21">
        <f>IF($D303="","",IFERROR(IF(VLOOKUP($D303,'Base produits'!$B$5:$J$91,9,FALSE)="","",VLOOKUP($D303,'Base produits'!$B$5:$J$91,9,FALSE)),""))</f>
        <v/>
      </c>
      <c r="H303" s="32" t="n"/>
      <c r="I303" s="21">
        <f>IF(OR($D303="",$F303="",$G303=""),"",$F303*$G303*(1-IFERROR($H303,0)))</f>
        <v/>
      </c>
      <c r="J303" s="21">
        <f>IF(OR($D303="",$F303="",$G303=""),"",($G303-IFERROR(VLOOKUP($D303,'Base produits'!$B$5:$H$91,7,FALSE),0))*$F303*(1-IFERROR($H303,0)))</f>
        <v/>
      </c>
      <c r="K303" s="23" t="n"/>
      <c r="L303" s="29" t="n"/>
    </row>
    <row r="304" ht="23" customHeight="1">
      <c r="A304" s="30" t="n"/>
      <c r="B304" s="23" t="n"/>
      <c r="C304" s="29" t="n"/>
      <c r="D304" s="23" t="n"/>
      <c r="E304" s="31">
        <f>IF($D304="","",IFERROR(VLOOKUP($D304,'Base produits'!$B$5:$F$91,5,FALSE),""))</f>
        <v/>
      </c>
      <c r="F304" s="23" t="n"/>
      <c r="G304" s="21">
        <f>IF($D304="","",IFERROR(IF(VLOOKUP($D304,'Base produits'!$B$5:$J$91,9,FALSE)="","",VLOOKUP($D304,'Base produits'!$B$5:$J$91,9,FALSE)),""))</f>
        <v/>
      </c>
      <c r="H304" s="32" t="n"/>
      <c r="I304" s="21">
        <f>IF(OR($D304="",$F304="",$G304=""),"",$F304*$G304*(1-IFERROR($H304,0)))</f>
        <v/>
      </c>
      <c r="J304" s="21">
        <f>IF(OR($D304="",$F304="",$G304=""),"",($G304-IFERROR(VLOOKUP($D304,'Base produits'!$B$5:$H$91,7,FALSE),0))*$F304*(1-IFERROR($H304,0)))</f>
        <v/>
      </c>
      <c r="K304" s="23" t="n"/>
      <c r="L304" s="29" t="n"/>
    </row>
    <row r="305" ht="23" customHeight="1">
      <c r="A305" s="30" t="n"/>
      <c r="B305" s="23" t="n"/>
      <c r="C305" s="29" t="n"/>
      <c r="D305" s="23" t="n"/>
      <c r="E305" s="31">
        <f>IF($D305="","",IFERROR(VLOOKUP($D305,'Base produits'!$B$5:$F$91,5,FALSE),""))</f>
        <v/>
      </c>
      <c r="F305" s="23" t="n"/>
      <c r="G305" s="21">
        <f>IF($D305="","",IFERROR(IF(VLOOKUP($D305,'Base produits'!$B$5:$J$91,9,FALSE)="","",VLOOKUP($D305,'Base produits'!$B$5:$J$91,9,FALSE)),""))</f>
        <v/>
      </c>
      <c r="H305" s="32" t="n"/>
      <c r="I305" s="21">
        <f>IF(OR($D305="",$F305="",$G305=""),"",$F305*$G305*(1-IFERROR($H305,0)))</f>
        <v/>
      </c>
      <c r="J305" s="21">
        <f>IF(OR($D305="",$F305="",$G305=""),"",($G305-IFERROR(VLOOKUP($D305,'Base produits'!$B$5:$H$91,7,FALSE),0))*$F305*(1-IFERROR($H305,0)))</f>
        <v/>
      </c>
      <c r="K305" s="23" t="n"/>
      <c r="L305" s="29" t="n"/>
    </row>
    <row r="306" ht="23" customHeight="1">
      <c r="A306" s="30" t="n"/>
      <c r="B306" s="23" t="n"/>
      <c r="C306" s="29" t="n"/>
      <c r="D306" s="23" t="n"/>
      <c r="E306" s="31">
        <f>IF($D306="","",IFERROR(VLOOKUP($D306,'Base produits'!$B$5:$F$91,5,FALSE),""))</f>
        <v/>
      </c>
      <c r="F306" s="23" t="n"/>
      <c r="G306" s="21">
        <f>IF($D306="","",IFERROR(IF(VLOOKUP($D306,'Base produits'!$B$5:$J$91,9,FALSE)="","",VLOOKUP($D306,'Base produits'!$B$5:$J$91,9,FALSE)),""))</f>
        <v/>
      </c>
      <c r="H306" s="32" t="n"/>
      <c r="I306" s="21">
        <f>IF(OR($D306="",$F306="",$G306=""),"",$F306*$G306*(1-IFERROR($H306,0)))</f>
        <v/>
      </c>
      <c r="J306" s="21">
        <f>IF(OR($D306="",$F306="",$G306=""),"",($G306-IFERROR(VLOOKUP($D306,'Base produits'!$B$5:$H$91,7,FALSE),0))*$F306*(1-IFERROR($H306,0)))</f>
        <v/>
      </c>
      <c r="K306" s="23" t="n"/>
      <c r="L306" s="29" t="n"/>
    </row>
    <row r="307" ht="23" customHeight="1">
      <c r="A307" s="30" t="n"/>
      <c r="B307" s="23" t="n"/>
      <c r="C307" s="29" t="n"/>
      <c r="D307" s="23" t="n"/>
      <c r="E307" s="31">
        <f>IF($D307="","",IFERROR(VLOOKUP($D307,'Base produits'!$B$5:$F$91,5,FALSE),""))</f>
        <v/>
      </c>
      <c r="F307" s="23" t="n"/>
      <c r="G307" s="21">
        <f>IF($D307="","",IFERROR(IF(VLOOKUP($D307,'Base produits'!$B$5:$J$91,9,FALSE)="","",VLOOKUP($D307,'Base produits'!$B$5:$J$91,9,FALSE)),""))</f>
        <v/>
      </c>
      <c r="H307" s="32" t="n"/>
      <c r="I307" s="21">
        <f>IF(OR($D307="",$F307="",$G307=""),"",$F307*$G307*(1-IFERROR($H307,0)))</f>
        <v/>
      </c>
      <c r="J307" s="21">
        <f>IF(OR($D307="",$F307="",$G307=""),"",($G307-IFERROR(VLOOKUP($D307,'Base produits'!$B$5:$H$91,7,FALSE),0))*$F307*(1-IFERROR($H307,0)))</f>
        <v/>
      </c>
      <c r="K307" s="23" t="n"/>
      <c r="L307" s="29" t="n"/>
    </row>
    <row r="308" ht="23" customHeight="1">
      <c r="A308" s="30" t="n"/>
      <c r="B308" s="23" t="n"/>
      <c r="C308" s="29" t="n"/>
      <c r="D308" s="23" t="n"/>
      <c r="E308" s="31">
        <f>IF($D308="","",IFERROR(VLOOKUP($D308,'Base produits'!$B$5:$F$91,5,FALSE),""))</f>
        <v/>
      </c>
      <c r="F308" s="23" t="n"/>
      <c r="G308" s="21">
        <f>IF($D308="","",IFERROR(IF(VLOOKUP($D308,'Base produits'!$B$5:$J$91,9,FALSE)="","",VLOOKUP($D308,'Base produits'!$B$5:$J$91,9,FALSE)),""))</f>
        <v/>
      </c>
      <c r="H308" s="32" t="n"/>
      <c r="I308" s="21">
        <f>IF(OR($D308="",$F308="",$G308=""),"",$F308*$G308*(1-IFERROR($H308,0)))</f>
        <v/>
      </c>
      <c r="J308" s="21">
        <f>IF(OR($D308="",$F308="",$G308=""),"",($G308-IFERROR(VLOOKUP($D308,'Base produits'!$B$5:$H$91,7,FALSE),0))*$F308*(1-IFERROR($H308,0)))</f>
        <v/>
      </c>
      <c r="K308" s="23" t="n"/>
      <c r="L308" s="29" t="n"/>
    </row>
    <row r="309" ht="23" customHeight="1">
      <c r="A309" s="30" t="n"/>
      <c r="B309" s="23" t="n"/>
      <c r="C309" s="29" t="n"/>
      <c r="D309" s="23" t="n"/>
      <c r="E309" s="31">
        <f>IF($D309="","",IFERROR(VLOOKUP($D309,'Base produits'!$B$5:$F$91,5,FALSE),""))</f>
        <v/>
      </c>
      <c r="F309" s="23" t="n"/>
      <c r="G309" s="21">
        <f>IF($D309="","",IFERROR(IF(VLOOKUP($D309,'Base produits'!$B$5:$J$91,9,FALSE)="","",VLOOKUP($D309,'Base produits'!$B$5:$J$91,9,FALSE)),""))</f>
        <v/>
      </c>
      <c r="H309" s="32" t="n"/>
      <c r="I309" s="21">
        <f>IF(OR($D309="",$F309="",$G309=""),"",$F309*$G309*(1-IFERROR($H309,0)))</f>
        <v/>
      </c>
      <c r="J309" s="21">
        <f>IF(OR($D309="",$F309="",$G309=""),"",($G309-IFERROR(VLOOKUP($D309,'Base produits'!$B$5:$H$91,7,FALSE),0))*$F309*(1-IFERROR($H309,0)))</f>
        <v/>
      </c>
      <c r="K309" s="23" t="n"/>
      <c r="L309" s="29" t="n"/>
    </row>
    <row r="310" ht="23" customHeight="1">
      <c r="A310" s="30" t="n"/>
      <c r="B310" s="23" t="n"/>
      <c r="C310" s="29" t="n"/>
      <c r="D310" s="23" t="n"/>
      <c r="E310" s="31">
        <f>IF($D310="","",IFERROR(VLOOKUP($D310,'Base produits'!$B$5:$F$91,5,FALSE),""))</f>
        <v/>
      </c>
      <c r="F310" s="23" t="n"/>
      <c r="G310" s="21">
        <f>IF($D310="","",IFERROR(IF(VLOOKUP($D310,'Base produits'!$B$5:$J$91,9,FALSE)="","",VLOOKUP($D310,'Base produits'!$B$5:$J$91,9,FALSE)),""))</f>
        <v/>
      </c>
      <c r="H310" s="32" t="n"/>
      <c r="I310" s="21">
        <f>IF(OR($D310="",$F310="",$G310=""),"",$F310*$G310*(1-IFERROR($H310,0)))</f>
        <v/>
      </c>
      <c r="J310" s="21">
        <f>IF(OR($D310="",$F310="",$G310=""),"",($G310-IFERROR(VLOOKUP($D310,'Base produits'!$B$5:$H$91,7,FALSE),0))*$F310*(1-IFERROR($H310,0)))</f>
        <v/>
      </c>
      <c r="K310" s="23" t="n"/>
      <c r="L310" s="29" t="n"/>
    </row>
    <row r="311" ht="23" customHeight="1">
      <c r="A311" s="30" t="n"/>
      <c r="B311" s="23" t="n"/>
      <c r="C311" s="29" t="n"/>
      <c r="D311" s="23" t="n"/>
      <c r="E311" s="31">
        <f>IF($D311="","",IFERROR(VLOOKUP($D311,'Base produits'!$B$5:$F$91,5,FALSE),""))</f>
        <v/>
      </c>
      <c r="F311" s="23" t="n"/>
      <c r="G311" s="21">
        <f>IF($D311="","",IFERROR(IF(VLOOKUP($D311,'Base produits'!$B$5:$J$91,9,FALSE)="","",VLOOKUP($D311,'Base produits'!$B$5:$J$91,9,FALSE)),""))</f>
        <v/>
      </c>
      <c r="H311" s="32" t="n"/>
      <c r="I311" s="21">
        <f>IF(OR($D311="",$F311="",$G311=""),"",$F311*$G311*(1-IFERROR($H311,0)))</f>
        <v/>
      </c>
      <c r="J311" s="21">
        <f>IF(OR($D311="",$F311="",$G311=""),"",($G311-IFERROR(VLOOKUP($D311,'Base produits'!$B$5:$H$91,7,FALSE),0))*$F311*(1-IFERROR($H311,0)))</f>
        <v/>
      </c>
      <c r="K311" s="23" t="n"/>
      <c r="L311" s="29" t="n"/>
    </row>
    <row r="312" ht="23" customHeight="1">
      <c r="A312" s="30" t="n"/>
      <c r="B312" s="23" t="n"/>
      <c r="C312" s="29" t="n"/>
      <c r="D312" s="23" t="n"/>
      <c r="E312" s="31">
        <f>IF($D312="","",IFERROR(VLOOKUP($D312,'Base produits'!$B$5:$F$91,5,FALSE),""))</f>
        <v/>
      </c>
      <c r="F312" s="23" t="n"/>
      <c r="G312" s="21">
        <f>IF($D312="","",IFERROR(IF(VLOOKUP($D312,'Base produits'!$B$5:$J$91,9,FALSE)="","",VLOOKUP($D312,'Base produits'!$B$5:$J$91,9,FALSE)),""))</f>
        <v/>
      </c>
      <c r="H312" s="32" t="n"/>
      <c r="I312" s="21">
        <f>IF(OR($D312="",$F312="",$G312=""),"",$F312*$G312*(1-IFERROR($H312,0)))</f>
        <v/>
      </c>
      <c r="J312" s="21">
        <f>IF(OR($D312="",$F312="",$G312=""),"",($G312-IFERROR(VLOOKUP($D312,'Base produits'!$B$5:$H$91,7,FALSE),0))*$F312*(1-IFERROR($H312,0)))</f>
        <v/>
      </c>
      <c r="K312" s="23" t="n"/>
      <c r="L312" s="29" t="n"/>
    </row>
    <row r="313" ht="23" customHeight="1">
      <c r="A313" s="30" t="n"/>
      <c r="B313" s="23" t="n"/>
      <c r="C313" s="29" t="n"/>
      <c r="D313" s="23" t="n"/>
      <c r="E313" s="31">
        <f>IF($D313="","",IFERROR(VLOOKUP($D313,'Base produits'!$B$5:$F$91,5,FALSE),""))</f>
        <v/>
      </c>
      <c r="F313" s="23" t="n"/>
      <c r="G313" s="21">
        <f>IF($D313="","",IFERROR(IF(VLOOKUP($D313,'Base produits'!$B$5:$J$91,9,FALSE)="","",VLOOKUP($D313,'Base produits'!$B$5:$J$91,9,FALSE)),""))</f>
        <v/>
      </c>
      <c r="H313" s="32" t="n"/>
      <c r="I313" s="21">
        <f>IF(OR($D313="",$F313="",$G313=""),"",$F313*$G313*(1-IFERROR($H313,0)))</f>
        <v/>
      </c>
      <c r="J313" s="21">
        <f>IF(OR($D313="",$F313="",$G313=""),"",($G313-IFERROR(VLOOKUP($D313,'Base produits'!$B$5:$H$91,7,FALSE),0))*$F313*(1-IFERROR($H313,0)))</f>
        <v/>
      </c>
      <c r="K313" s="23" t="n"/>
      <c r="L313" s="29" t="n"/>
    </row>
    <row r="314" ht="23" customHeight="1">
      <c r="A314" s="30" t="n"/>
      <c r="B314" s="23" t="n"/>
      <c r="C314" s="29" t="n"/>
      <c r="D314" s="23" t="n"/>
      <c r="E314" s="31">
        <f>IF($D314="","",IFERROR(VLOOKUP($D314,'Base produits'!$B$5:$F$91,5,FALSE),""))</f>
        <v/>
      </c>
      <c r="F314" s="23" t="n"/>
      <c r="G314" s="21">
        <f>IF($D314="","",IFERROR(IF(VLOOKUP($D314,'Base produits'!$B$5:$J$91,9,FALSE)="","",VLOOKUP($D314,'Base produits'!$B$5:$J$91,9,FALSE)),""))</f>
        <v/>
      </c>
      <c r="H314" s="32" t="n"/>
      <c r="I314" s="21">
        <f>IF(OR($D314="",$F314="",$G314=""),"",$F314*$G314*(1-IFERROR($H314,0)))</f>
        <v/>
      </c>
      <c r="J314" s="21">
        <f>IF(OR($D314="",$F314="",$G314=""),"",($G314-IFERROR(VLOOKUP($D314,'Base produits'!$B$5:$H$91,7,FALSE),0))*$F314*(1-IFERROR($H314,0)))</f>
        <v/>
      </c>
      <c r="K314" s="23" t="n"/>
      <c r="L314" s="29" t="n"/>
    </row>
    <row r="315" ht="23" customHeight="1">
      <c r="A315" s="30" t="n"/>
      <c r="B315" s="23" t="n"/>
      <c r="C315" s="29" t="n"/>
      <c r="D315" s="23" t="n"/>
      <c r="E315" s="31">
        <f>IF($D315="","",IFERROR(VLOOKUP($D315,'Base produits'!$B$5:$F$91,5,FALSE),""))</f>
        <v/>
      </c>
      <c r="F315" s="23" t="n"/>
      <c r="G315" s="21">
        <f>IF($D315="","",IFERROR(IF(VLOOKUP($D315,'Base produits'!$B$5:$J$91,9,FALSE)="","",VLOOKUP($D315,'Base produits'!$B$5:$J$91,9,FALSE)),""))</f>
        <v/>
      </c>
      <c r="H315" s="32" t="n"/>
      <c r="I315" s="21">
        <f>IF(OR($D315="",$F315="",$G315=""),"",$F315*$G315*(1-IFERROR($H315,0)))</f>
        <v/>
      </c>
      <c r="J315" s="21">
        <f>IF(OR($D315="",$F315="",$G315=""),"",($G315-IFERROR(VLOOKUP($D315,'Base produits'!$B$5:$H$91,7,FALSE),0))*$F315*(1-IFERROR($H315,0)))</f>
        <v/>
      </c>
      <c r="K315" s="23" t="n"/>
      <c r="L315" s="29" t="n"/>
    </row>
    <row r="316" ht="23" customHeight="1">
      <c r="A316" s="30" t="n"/>
      <c r="B316" s="23" t="n"/>
      <c r="C316" s="29" t="n"/>
      <c r="D316" s="23" t="n"/>
      <c r="E316" s="31">
        <f>IF($D316="","",IFERROR(VLOOKUP($D316,'Base produits'!$B$5:$F$91,5,FALSE),""))</f>
        <v/>
      </c>
      <c r="F316" s="23" t="n"/>
      <c r="G316" s="21">
        <f>IF($D316="","",IFERROR(IF(VLOOKUP($D316,'Base produits'!$B$5:$J$91,9,FALSE)="","",VLOOKUP($D316,'Base produits'!$B$5:$J$91,9,FALSE)),""))</f>
        <v/>
      </c>
      <c r="H316" s="32" t="n"/>
      <c r="I316" s="21">
        <f>IF(OR($D316="",$F316="",$G316=""),"",$F316*$G316*(1-IFERROR($H316,0)))</f>
        <v/>
      </c>
      <c r="J316" s="21">
        <f>IF(OR($D316="",$F316="",$G316=""),"",($G316-IFERROR(VLOOKUP($D316,'Base produits'!$B$5:$H$91,7,FALSE),0))*$F316*(1-IFERROR($H316,0)))</f>
        <v/>
      </c>
      <c r="K316" s="23" t="n"/>
      <c r="L316" s="29" t="n"/>
    </row>
    <row r="317" ht="23" customHeight="1">
      <c r="A317" s="30" t="n"/>
      <c r="B317" s="23" t="n"/>
      <c r="C317" s="29" t="n"/>
      <c r="D317" s="23" t="n"/>
      <c r="E317" s="31">
        <f>IF($D317="","",IFERROR(VLOOKUP($D317,'Base produits'!$B$5:$F$91,5,FALSE),""))</f>
        <v/>
      </c>
      <c r="F317" s="23" t="n"/>
      <c r="G317" s="21">
        <f>IF($D317="","",IFERROR(IF(VLOOKUP($D317,'Base produits'!$B$5:$J$91,9,FALSE)="","",VLOOKUP($D317,'Base produits'!$B$5:$J$91,9,FALSE)),""))</f>
        <v/>
      </c>
      <c r="H317" s="32" t="n"/>
      <c r="I317" s="21">
        <f>IF(OR($D317="",$F317="",$G317=""),"",$F317*$G317*(1-IFERROR($H317,0)))</f>
        <v/>
      </c>
      <c r="J317" s="21">
        <f>IF(OR($D317="",$F317="",$G317=""),"",($G317-IFERROR(VLOOKUP($D317,'Base produits'!$B$5:$H$91,7,FALSE),0))*$F317*(1-IFERROR($H317,0)))</f>
        <v/>
      </c>
      <c r="K317" s="23" t="n"/>
      <c r="L317" s="29" t="n"/>
    </row>
    <row r="318" ht="23" customHeight="1">
      <c r="A318" s="30" t="n"/>
      <c r="B318" s="23" t="n"/>
      <c r="C318" s="29" t="n"/>
      <c r="D318" s="23" t="n"/>
      <c r="E318" s="31">
        <f>IF($D318="","",IFERROR(VLOOKUP($D318,'Base produits'!$B$5:$F$91,5,FALSE),""))</f>
        <v/>
      </c>
      <c r="F318" s="23" t="n"/>
      <c r="G318" s="21">
        <f>IF($D318="","",IFERROR(IF(VLOOKUP($D318,'Base produits'!$B$5:$J$91,9,FALSE)="","",VLOOKUP($D318,'Base produits'!$B$5:$J$91,9,FALSE)),""))</f>
        <v/>
      </c>
      <c r="H318" s="32" t="n"/>
      <c r="I318" s="21">
        <f>IF(OR($D318="",$F318="",$G318=""),"",$F318*$G318*(1-IFERROR($H318,0)))</f>
        <v/>
      </c>
      <c r="J318" s="21">
        <f>IF(OR($D318="",$F318="",$G318=""),"",($G318-IFERROR(VLOOKUP($D318,'Base produits'!$B$5:$H$91,7,FALSE),0))*$F318*(1-IFERROR($H318,0)))</f>
        <v/>
      </c>
      <c r="K318" s="23" t="n"/>
      <c r="L318" s="29" t="n"/>
    </row>
    <row r="319" ht="23" customHeight="1">
      <c r="A319" s="30" t="n"/>
      <c r="B319" s="23" t="n"/>
      <c r="C319" s="29" t="n"/>
      <c r="D319" s="23" t="n"/>
      <c r="E319" s="31">
        <f>IF($D319="","",IFERROR(VLOOKUP($D319,'Base produits'!$B$5:$F$91,5,FALSE),""))</f>
        <v/>
      </c>
      <c r="F319" s="23" t="n"/>
      <c r="G319" s="21">
        <f>IF($D319="","",IFERROR(IF(VLOOKUP($D319,'Base produits'!$B$5:$J$91,9,FALSE)="","",VLOOKUP($D319,'Base produits'!$B$5:$J$91,9,FALSE)),""))</f>
        <v/>
      </c>
      <c r="H319" s="32" t="n"/>
      <c r="I319" s="21">
        <f>IF(OR($D319="",$F319="",$G319=""),"",$F319*$G319*(1-IFERROR($H319,0)))</f>
        <v/>
      </c>
      <c r="J319" s="21">
        <f>IF(OR($D319="",$F319="",$G319=""),"",($G319-IFERROR(VLOOKUP($D319,'Base produits'!$B$5:$H$91,7,FALSE),0))*$F319*(1-IFERROR($H319,0)))</f>
        <v/>
      </c>
      <c r="K319" s="23" t="n"/>
      <c r="L319" s="29" t="n"/>
    </row>
    <row r="320" ht="23" customHeight="1">
      <c r="A320" s="30" t="n"/>
      <c r="B320" s="23" t="n"/>
      <c r="C320" s="29" t="n"/>
      <c r="D320" s="23" t="n"/>
      <c r="E320" s="31">
        <f>IF($D320="","",IFERROR(VLOOKUP($D320,'Base produits'!$B$5:$F$91,5,FALSE),""))</f>
        <v/>
      </c>
      <c r="F320" s="23" t="n"/>
      <c r="G320" s="21">
        <f>IF($D320="","",IFERROR(IF(VLOOKUP($D320,'Base produits'!$B$5:$J$91,9,FALSE)="","",VLOOKUP($D320,'Base produits'!$B$5:$J$91,9,FALSE)),""))</f>
        <v/>
      </c>
      <c r="H320" s="32" t="n"/>
      <c r="I320" s="21">
        <f>IF(OR($D320="",$F320="",$G320=""),"",$F320*$G320*(1-IFERROR($H320,0)))</f>
        <v/>
      </c>
      <c r="J320" s="21">
        <f>IF(OR($D320="",$F320="",$G320=""),"",($G320-IFERROR(VLOOKUP($D320,'Base produits'!$B$5:$H$91,7,FALSE),0))*$F320*(1-IFERROR($H320,0)))</f>
        <v/>
      </c>
      <c r="K320" s="23" t="n"/>
      <c r="L320" s="29" t="n"/>
    </row>
    <row r="321" ht="23" customHeight="1">
      <c r="A321" s="30" t="n"/>
      <c r="B321" s="23" t="n"/>
      <c r="C321" s="29" t="n"/>
      <c r="D321" s="23" t="n"/>
      <c r="E321" s="31">
        <f>IF($D321="","",IFERROR(VLOOKUP($D321,'Base produits'!$B$5:$F$91,5,FALSE),""))</f>
        <v/>
      </c>
      <c r="F321" s="23" t="n"/>
      <c r="G321" s="21">
        <f>IF($D321="","",IFERROR(IF(VLOOKUP($D321,'Base produits'!$B$5:$J$91,9,FALSE)="","",VLOOKUP($D321,'Base produits'!$B$5:$J$91,9,FALSE)),""))</f>
        <v/>
      </c>
      <c r="H321" s="32" t="n"/>
      <c r="I321" s="21">
        <f>IF(OR($D321="",$F321="",$G321=""),"",$F321*$G321*(1-IFERROR($H321,0)))</f>
        <v/>
      </c>
      <c r="J321" s="21">
        <f>IF(OR($D321="",$F321="",$G321=""),"",($G321-IFERROR(VLOOKUP($D321,'Base produits'!$B$5:$H$91,7,FALSE),0))*$F321*(1-IFERROR($H321,0)))</f>
        <v/>
      </c>
      <c r="K321" s="23" t="n"/>
      <c r="L321" s="29" t="n"/>
    </row>
    <row r="322" ht="23" customHeight="1">
      <c r="A322" s="30" t="n"/>
      <c r="B322" s="23" t="n"/>
      <c r="C322" s="29" t="n"/>
      <c r="D322" s="23" t="n"/>
      <c r="E322" s="31">
        <f>IF($D322="","",IFERROR(VLOOKUP($D322,'Base produits'!$B$5:$F$91,5,FALSE),""))</f>
        <v/>
      </c>
      <c r="F322" s="23" t="n"/>
      <c r="G322" s="21">
        <f>IF($D322="","",IFERROR(IF(VLOOKUP($D322,'Base produits'!$B$5:$J$91,9,FALSE)="","",VLOOKUP($D322,'Base produits'!$B$5:$J$91,9,FALSE)),""))</f>
        <v/>
      </c>
      <c r="H322" s="32" t="n"/>
      <c r="I322" s="21">
        <f>IF(OR($D322="",$F322="",$G322=""),"",$F322*$G322*(1-IFERROR($H322,0)))</f>
        <v/>
      </c>
      <c r="J322" s="21">
        <f>IF(OR($D322="",$F322="",$G322=""),"",($G322-IFERROR(VLOOKUP($D322,'Base produits'!$B$5:$H$91,7,FALSE),0))*$F322*(1-IFERROR($H322,0)))</f>
        <v/>
      </c>
      <c r="K322" s="23" t="n"/>
      <c r="L322" s="29" t="n"/>
    </row>
    <row r="323" ht="23" customHeight="1">
      <c r="A323" s="30" t="n"/>
      <c r="B323" s="23" t="n"/>
      <c r="C323" s="29" t="n"/>
      <c r="D323" s="23" t="n"/>
      <c r="E323" s="31">
        <f>IF($D323="","",IFERROR(VLOOKUP($D323,'Base produits'!$B$5:$F$91,5,FALSE),""))</f>
        <v/>
      </c>
      <c r="F323" s="23" t="n"/>
      <c r="G323" s="21">
        <f>IF($D323="","",IFERROR(IF(VLOOKUP($D323,'Base produits'!$B$5:$J$91,9,FALSE)="","",VLOOKUP($D323,'Base produits'!$B$5:$J$91,9,FALSE)),""))</f>
        <v/>
      </c>
      <c r="H323" s="32" t="n"/>
      <c r="I323" s="21">
        <f>IF(OR($D323="",$F323="",$G323=""),"",$F323*$G323*(1-IFERROR($H323,0)))</f>
        <v/>
      </c>
      <c r="J323" s="21">
        <f>IF(OR($D323="",$F323="",$G323=""),"",($G323-IFERROR(VLOOKUP($D323,'Base produits'!$B$5:$H$91,7,FALSE),0))*$F323*(1-IFERROR($H323,0)))</f>
        <v/>
      </c>
      <c r="K323" s="23" t="n"/>
      <c r="L323" s="29" t="n"/>
    </row>
    <row r="324" ht="23" customHeight="1">
      <c r="A324" s="30" t="n"/>
      <c r="B324" s="23" t="n"/>
      <c r="C324" s="29" t="n"/>
      <c r="D324" s="23" t="n"/>
      <c r="E324" s="31">
        <f>IF($D324="","",IFERROR(VLOOKUP($D324,'Base produits'!$B$5:$F$91,5,FALSE),""))</f>
        <v/>
      </c>
      <c r="F324" s="23" t="n"/>
      <c r="G324" s="21">
        <f>IF($D324="","",IFERROR(IF(VLOOKUP($D324,'Base produits'!$B$5:$J$91,9,FALSE)="","",VLOOKUP($D324,'Base produits'!$B$5:$J$91,9,FALSE)),""))</f>
        <v/>
      </c>
      <c r="H324" s="32" t="n"/>
      <c r="I324" s="21">
        <f>IF(OR($D324="",$F324="",$G324=""),"",$F324*$G324*(1-IFERROR($H324,0)))</f>
        <v/>
      </c>
      <c r="J324" s="21">
        <f>IF(OR($D324="",$F324="",$G324=""),"",($G324-IFERROR(VLOOKUP($D324,'Base produits'!$B$5:$H$91,7,FALSE),0))*$F324*(1-IFERROR($H324,0)))</f>
        <v/>
      </c>
      <c r="K324" s="23" t="n"/>
      <c r="L324" s="29" t="n"/>
    </row>
    <row r="325" ht="23" customHeight="1">
      <c r="A325" s="30" t="n"/>
      <c r="B325" s="23" t="n"/>
      <c r="C325" s="29" t="n"/>
      <c r="D325" s="23" t="n"/>
      <c r="E325" s="31">
        <f>IF($D325="","",IFERROR(VLOOKUP($D325,'Base produits'!$B$5:$F$91,5,FALSE),""))</f>
        <v/>
      </c>
      <c r="F325" s="23" t="n"/>
      <c r="G325" s="21">
        <f>IF($D325="","",IFERROR(IF(VLOOKUP($D325,'Base produits'!$B$5:$J$91,9,FALSE)="","",VLOOKUP($D325,'Base produits'!$B$5:$J$91,9,FALSE)),""))</f>
        <v/>
      </c>
      <c r="H325" s="32" t="n"/>
      <c r="I325" s="21">
        <f>IF(OR($D325="",$F325="",$G325=""),"",$F325*$G325*(1-IFERROR($H325,0)))</f>
        <v/>
      </c>
      <c r="J325" s="21">
        <f>IF(OR($D325="",$F325="",$G325=""),"",($G325-IFERROR(VLOOKUP($D325,'Base produits'!$B$5:$H$91,7,FALSE),0))*$F325*(1-IFERROR($H325,0)))</f>
        <v/>
      </c>
      <c r="K325" s="23" t="n"/>
      <c r="L325" s="29" t="n"/>
    </row>
    <row r="326" ht="23" customHeight="1">
      <c r="A326" s="30" t="n"/>
      <c r="B326" s="23" t="n"/>
      <c r="C326" s="29" t="n"/>
      <c r="D326" s="23" t="n"/>
      <c r="E326" s="31">
        <f>IF($D326="","",IFERROR(VLOOKUP($D326,'Base produits'!$B$5:$F$91,5,FALSE),""))</f>
        <v/>
      </c>
      <c r="F326" s="23" t="n"/>
      <c r="G326" s="21">
        <f>IF($D326="","",IFERROR(IF(VLOOKUP($D326,'Base produits'!$B$5:$J$91,9,FALSE)="","",VLOOKUP($D326,'Base produits'!$B$5:$J$91,9,FALSE)),""))</f>
        <v/>
      </c>
      <c r="H326" s="32" t="n"/>
      <c r="I326" s="21">
        <f>IF(OR($D326="",$F326="",$G326=""),"",$F326*$G326*(1-IFERROR($H326,0)))</f>
        <v/>
      </c>
      <c r="J326" s="21">
        <f>IF(OR($D326="",$F326="",$G326=""),"",($G326-IFERROR(VLOOKUP($D326,'Base produits'!$B$5:$H$91,7,FALSE),0))*$F326*(1-IFERROR($H326,0)))</f>
        <v/>
      </c>
      <c r="K326" s="23" t="n"/>
      <c r="L326" s="29" t="n"/>
    </row>
    <row r="327" ht="23" customHeight="1">
      <c r="A327" s="30" t="n"/>
      <c r="B327" s="23" t="n"/>
      <c r="C327" s="29" t="n"/>
      <c r="D327" s="23" t="n"/>
      <c r="E327" s="31">
        <f>IF($D327="","",IFERROR(VLOOKUP($D327,'Base produits'!$B$5:$F$91,5,FALSE),""))</f>
        <v/>
      </c>
      <c r="F327" s="23" t="n"/>
      <c r="G327" s="21">
        <f>IF($D327="","",IFERROR(IF(VLOOKUP($D327,'Base produits'!$B$5:$J$91,9,FALSE)="","",VLOOKUP($D327,'Base produits'!$B$5:$J$91,9,FALSE)),""))</f>
        <v/>
      </c>
      <c r="H327" s="32" t="n"/>
      <c r="I327" s="21">
        <f>IF(OR($D327="",$F327="",$G327=""),"",$F327*$G327*(1-IFERROR($H327,0)))</f>
        <v/>
      </c>
      <c r="J327" s="21">
        <f>IF(OR($D327="",$F327="",$G327=""),"",($G327-IFERROR(VLOOKUP($D327,'Base produits'!$B$5:$H$91,7,FALSE),0))*$F327*(1-IFERROR($H327,0)))</f>
        <v/>
      </c>
      <c r="K327" s="23" t="n"/>
      <c r="L327" s="29" t="n"/>
    </row>
    <row r="328" ht="23" customHeight="1">
      <c r="A328" s="30" t="n"/>
      <c r="B328" s="23" t="n"/>
      <c r="C328" s="29" t="n"/>
      <c r="D328" s="23" t="n"/>
      <c r="E328" s="31">
        <f>IF($D328="","",IFERROR(VLOOKUP($D328,'Base produits'!$B$5:$F$91,5,FALSE),""))</f>
        <v/>
      </c>
      <c r="F328" s="23" t="n"/>
      <c r="G328" s="21">
        <f>IF($D328="","",IFERROR(IF(VLOOKUP($D328,'Base produits'!$B$5:$J$91,9,FALSE)="","",VLOOKUP($D328,'Base produits'!$B$5:$J$91,9,FALSE)),""))</f>
        <v/>
      </c>
      <c r="H328" s="32" t="n"/>
      <c r="I328" s="21">
        <f>IF(OR($D328="",$F328="",$G328=""),"",$F328*$G328*(1-IFERROR($H328,0)))</f>
        <v/>
      </c>
      <c r="J328" s="21">
        <f>IF(OR($D328="",$F328="",$G328=""),"",($G328-IFERROR(VLOOKUP($D328,'Base produits'!$B$5:$H$91,7,FALSE),0))*$F328*(1-IFERROR($H328,0)))</f>
        <v/>
      </c>
      <c r="K328" s="23" t="n"/>
      <c r="L328" s="29" t="n"/>
    </row>
    <row r="329" ht="23" customHeight="1">
      <c r="A329" s="30" t="n"/>
      <c r="B329" s="23" t="n"/>
      <c r="C329" s="29" t="n"/>
      <c r="D329" s="23" t="n"/>
      <c r="E329" s="31">
        <f>IF($D329="","",IFERROR(VLOOKUP($D329,'Base produits'!$B$5:$F$91,5,FALSE),""))</f>
        <v/>
      </c>
      <c r="F329" s="23" t="n"/>
      <c r="G329" s="21">
        <f>IF($D329="","",IFERROR(IF(VLOOKUP($D329,'Base produits'!$B$5:$J$91,9,FALSE)="","",VLOOKUP($D329,'Base produits'!$B$5:$J$91,9,FALSE)),""))</f>
        <v/>
      </c>
      <c r="H329" s="32" t="n"/>
      <c r="I329" s="21">
        <f>IF(OR($D329="",$F329="",$G329=""),"",$F329*$G329*(1-IFERROR($H329,0)))</f>
        <v/>
      </c>
      <c r="J329" s="21">
        <f>IF(OR($D329="",$F329="",$G329=""),"",($G329-IFERROR(VLOOKUP($D329,'Base produits'!$B$5:$H$91,7,FALSE),0))*$F329*(1-IFERROR($H329,0)))</f>
        <v/>
      </c>
      <c r="K329" s="23" t="n"/>
      <c r="L329" s="29" t="n"/>
    </row>
    <row r="330" ht="23" customHeight="1">
      <c r="A330" s="30" t="n"/>
      <c r="B330" s="23" t="n"/>
      <c r="C330" s="29" t="n"/>
      <c r="D330" s="23" t="n"/>
      <c r="E330" s="31">
        <f>IF($D330="","",IFERROR(VLOOKUP($D330,'Base produits'!$B$5:$F$91,5,FALSE),""))</f>
        <v/>
      </c>
      <c r="F330" s="23" t="n"/>
      <c r="G330" s="21">
        <f>IF($D330="","",IFERROR(IF(VLOOKUP($D330,'Base produits'!$B$5:$J$91,9,FALSE)="","",VLOOKUP($D330,'Base produits'!$B$5:$J$91,9,FALSE)),""))</f>
        <v/>
      </c>
      <c r="H330" s="32" t="n"/>
      <c r="I330" s="21">
        <f>IF(OR($D330="",$F330="",$G330=""),"",$F330*$G330*(1-IFERROR($H330,0)))</f>
        <v/>
      </c>
      <c r="J330" s="21">
        <f>IF(OR($D330="",$F330="",$G330=""),"",($G330-IFERROR(VLOOKUP($D330,'Base produits'!$B$5:$H$91,7,FALSE),0))*$F330*(1-IFERROR($H330,0)))</f>
        <v/>
      </c>
      <c r="K330" s="23" t="n"/>
      <c r="L330" s="29" t="n"/>
    </row>
    <row r="331" ht="23" customHeight="1">
      <c r="A331" s="30" t="n"/>
      <c r="B331" s="23" t="n"/>
      <c r="C331" s="29" t="n"/>
      <c r="D331" s="23" t="n"/>
      <c r="E331" s="31">
        <f>IF($D331="","",IFERROR(VLOOKUP($D331,'Base produits'!$B$5:$F$91,5,FALSE),""))</f>
        <v/>
      </c>
      <c r="F331" s="23" t="n"/>
      <c r="G331" s="21">
        <f>IF($D331="","",IFERROR(IF(VLOOKUP($D331,'Base produits'!$B$5:$J$91,9,FALSE)="","",VLOOKUP($D331,'Base produits'!$B$5:$J$91,9,FALSE)),""))</f>
        <v/>
      </c>
      <c r="H331" s="32" t="n"/>
      <c r="I331" s="21">
        <f>IF(OR($D331="",$F331="",$G331=""),"",$F331*$G331*(1-IFERROR($H331,0)))</f>
        <v/>
      </c>
      <c r="J331" s="21">
        <f>IF(OR($D331="",$F331="",$G331=""),"",($G331-IFERROR(VLOOKUP($D331,'Base produits'!$B$5:$H$91,7,FALSE),0))*$F331*(1-IFERROR($H331,0)))</f>
        <v/>
      </c>
      <c r="K331" s="23" t="n"/>
      <c r="L331" s="29" t="n"/>
    </row>
    <row r="332" ht="23" customHeight="1">
      <c r="A332" s="30" t="n"/>
      <c r="B332" s="23" t="n"/>
      <c r="C332" s="29" t="n"/>
      <c r="D332" s="23" t="n"/>
      <c r="E332" s="31">
        <f>IF($D332="","",IFERROR(VLOOKUP($D332,'Base produits'!$B$5:$F$91,5,FALSE),""))</f>
        <v/>
      </c>
      <c r="F332" s="23" t="n"/>
      <c r="G332" s="21">
        <f>IF($D332="","",IFERROR(IF(VLOOKUP($D332,'Base produits'!$B$5:$J$91,9,FALSE)="","",VLOOKUP($D332,'Base produits'!$B$5:$J$91,9,FALSE)),""))</f>
        <v/>
      </c>
      <c r="H332" s="32" t="n"/>
      <c r="I332" s="21">
        <f>IF(OR($D332="",$F332="",$G332=""),"",$F332*$G332*(1-IFERROR($H332,0)))</f>
        <v/>
      </c>
      <c r="J332" s="21">
        <f>IF(OR($D332="",$F332="",$G332=""),"",($G332-IFERROR(VLOOKUP($D332,'Base produits'!$B$5:$H$91,7,FALSE),0))*$F332*(1-IFERROR($H332,0)))</f>
        <v/>
      </c>
      <c r="K332" s="23" t="n"/>
      <c r="L332" s="29" t="n"/>
    </row>
    <row r="333" ht="23" customHeight="1">
      <c r="A333" s="30" t="n"/>
      <c r="B333" s="23" t="n"/>
      <c r="C333" s="29" t="n"/>
      <c r="D333" s="23" t="n"/>
      <c r="E333" s="31">
        <f>IF($D333="","",IFERROR(VLOOKUP($D333,'Base produits'!$B$5:$F$91,5,FALSE),""))</f>
        <v/>
      </c>
      <c r="F333" s="23" t="n"/>
      <c r="G333" s="21">
        <f>IF($D333="","",IFERROR(IF(VLOOKUP($D333,'Base produits'!$B$5:$J$91,9,FALSE)="","",VLOOKUP($D333,'Base produits'!$B$5:$J$91,9,FALSE)),""))</f>
        <v/>
      </c>
      <c r="H333" s="32" t="n"/>
      <c r="I333" s="21">
        <f>IF(OR($D333="",$F333="",$G333=""),"",$F333*$G333*(1-IFERROR($H333,0)))</f>
        <v/>
      </c>
      <c r="J333" s="21">
        <f>IF(OR($D333="",$F333="",$G333=""),"",($G333-IFERROR(VLOOKUP($D333,'Base produits'!$B$5:$H$91,7,FALSE),0))*$F333*(1-IFERROR($H333,0)))</f>
        <v/>
      </c>
      <c r="K333" s="23" t="n"/>
      <c r="L333" s="29" t="n"/>
    </row>
    <row r="334" ht="23" customHeight="1">
      <c r="A334" s="30" t="n"/>
      <c r="B334" s="23" t="n"/>
      <c r="C334" s="29" t="n"/>
      <c r="D334" s="23" t="n"/>
      <c r="E334" s="31">
        <f>IF($D334="","",IFERROR(VLOOKUP($D334,'Base produits'!$B$5:$F$91,5,FALSE),""))</f>
        <v/>
      </c>
      <c r="F334" s="23" t="n"/>
      <c r="G334" s="21">
        <f>IF($D334="","",IFERROR(IF(VLOOKUP($D334,'Base produits'!$B$5:$J$91,9,FALSE)="","",VLOOKUP($D334,'Base produits'!$B$5:$J$91,9,FALSE)),""))</f>
        <v/>
      </c>
      <c r="H334" s="32" t="n"/>
      <c r="I334" s="21">
        <f>IF(OR($D334="",$F334="",$G334=""),"",$F334*$G334*(1-IFERROR($H334,0)))</f>
        <v/>
      </c>
      <c r="J334" s="21">
        <f>IF(OR($D334="",$F334="",$G334=""),"",($G334-IFERROR(VLOOKUP($D334,'Base produits'!$B$5:$H$91,7,FALSE),0))*$F334*(1-IFERROR($H334,0)))</f>
        <v/>
      </c>
      <c r="K334" s="23" t="n"/>
      <c r="L334" s="29" t="n"/>
    </row>
    <row r="335" ht="23" customHeight="1">
      <c r="A335" s="30" t="n"/>
      <c r="B335" s="23" t="n"/>
      <c r="C335" s="29" t="n"/>
      <c r="D335" s="23" t="n"/>
      <c r="E335" s="31">
        <f>IF($D335="","",IFERROR(VLOOKUP($D335,'Base produits'!$B$5:$F$91,5,FALSE),""))</f>
        <v/>
      </c>
      <c r="F335" s="23" t="n"/>
      <c r="G335" s="21">
        <f>IF($D335="","",IFERROR(IF(VLOOKUP($D335,'Base produits'!$B$5:$J$91,9,FALSE)="","",VLOOKUP($D335,'Base produits'!$B$5:$J$91,9,FALSE)),""))</f>
        <v/>
      </c>
      <c r="H335" s="32" t="n"/>
      <c r="I335" s="21">
        <f>IF(OR($D335="",$F335="",$G335=""),"",$F335*$G335*(1-IFERROR($H335,0)))</f>
        <v/>
      </c>
      <c r="J335" s="21">
        <f>IF(OR($D335="",$F335="",$G335=""),"",($G335-IFERROR(VLOOKUP($D335,'Base produits'!$B$5:$H$91,7,FALSE),0))*$F335*(1-IFERROR($H335,0)))</f>
        <v/>
      </c>
      <c r="K335" s="23" t="n"/>
      <c r="L335" s="29" t="n"/>
    </row>
    <row r="336" ht="23" customHeight="1">
      <c r="A336" s="30" t="n"/>
      <c r="B336" s="23" t="n"/>
      <c r="C336" s="29" t="n"/>
      <c r="D336" s="23" t="n"/>
      <c r="E336" s="31">
        <f>IF($D336="","",IFERROR(VLOOKUP($D336,'Base produits'!$B$5:$F$91,5,FALSE),""))</f>
        <v/>
      </c>
      <c r="F336" s="23" t="n"/>
      <c r="G336" s="21">
        <f>IF($D336="","",IFERROR(IF(VLOOKUP($D336,'Base produits'!$B$5:$J$91,9,FALSE)="","",VLOOKUP($D336,'Base produits'!$B$5:$J$91,9,FALSE)),""))</f>
        <v/>
      </c>
      <c r="H336" s="32" t="n"/>
      <c r="I336" s="21">
        <f>IF(OR($D336="",$F336="",$G336=""),"",$F336*$G336*(1-IFERROR($H336,0)))</f>
        <v/>
      </c>
      <c r="J336" s="21">
        <f>IF(OR($D336="",$F336="",$G336=""),"",($G336-IFERROR(VLOOKUP($D336,'Base produits'!$B$5:$H$91,7,FALSE),0))*$F336*(1-IFERROR($H336,0)))</f>
        <v/>
      </c>
      <c r="K336" s="23" t="n"/>
      <c r="L336" s="29" t="n"/>
    </row>
    <row r="337" ht="23" customHeight="1">
      <c r="A337" s="30" t="n"/>
      <c r="B337" s="23" t="n"/>
      <c r="C337" s="29" t="n"/>
      <c r="D337" s="23" t="n"/>
      <c r="E337" s="31">
        <f>IF($D337="","",IFERROR(VLOOKUP($D337,'Base produits'!$B$5:$F$91,5,FALSE),""))</f>
        <v/>
      </c>
      <c r="F337" s="23" t="n"/>
      <c r="G337" s="21">
        <f>IF($D337="","",IFERROR(IF(VLOOKUP($D337,'Base produits'!$B$5:$J$91,9,FALSE)="","",VLOOKUP($D337,'Base produits'!$B$5:$J$91,9,FALSE)),""))</f>
        <v/>
      </c>
      <c r="H337" s="32" t="n"/>
      <c r="I337" s="21">
        <f>IF(OR($D337="",$F337="",$G337=""),"",$F337*$G337*(1-IFERROR($H337,0)))</f>
        <v/>
      </c>
      <c r="J337" s="21">
        <f>IF(OR($D337="",$F337="",$G337=""),"",($G337-IFERROR(VLOOKUP($D337,'Base produits'!$B$5:$H$91,7,FALSE),0))*$F337*(1-IFERROR($H337,0)))</f>
        <v/>
      </c>
      <c r="K337" s="23" t="n"/>
      <c r="L337" s="29" t="n"/>
    </row>
    <row r="338" ht="23" customHeight="1">
      <c r="A338" s="30" t="n"/>
      <c r="B338" s="23" t="n"/>
      <c r="C338" s="29" t="n"/>
      <c r="D338" s="23" t="n"/>
      <c r="E338" s="31">
        <f>IF($D338="","",IFERROR(VLOOKUP($D338,'Base produits'!$B$5:$F$91,5,FALSE),""))</f>
        <v/>
      </c>
      <c r="F338" s="23" t="n"/>
      <c r="G338" s="21">
        <f>IF($D338="","",IFERROR(IF(VLOOKUP($D338,'Base produits'!$B$5:$J$91,9,FALSE)="","",VLOOKUP($D338,'Base produits'!$B$5:$J$91,9,FALSE)),""))</f>
        <v/>
      </c>
      <c r="H338" s="32" t="n"/>
      <c r="I338" s="21">
        <f>IF(OR($D338="",$F338="",$G338=""),"",$F338*$G338*(1-IFERROR($H338,0)))</f>
        <v/>
      </c>
      <c r="J338" s="21">
        <f>IF(OR($D338="",$F338="",$G338=""),"",($G338-IFERROR(VLOOKUP($D338,'Base produits'!$B$5:$H$91,7,FALSE),0))*$F338*(1-IFERROR($H338,0)))</f>
        <v/>
      </c>
      <c r="K338" s="23" t="n"/>
      <c r="L338" s="29" t="n"/>
    </row>
    <row r="339" ht="23" customHeight="1">
      <c r="A339" s="30" t="n"/>
      <c r="B339" s="23" t="n"/>
      <c r="C339" s="29" t="n"/>
      <c r="D339" s="23" t="n"/>
      <c r="E339" s="31">
        <f>IF($D339="","",IFERROR(VLOOKUP($D339,'Base produits'!$B$5:$F$91,5,FALSE),""))</f>
        <v/>
      </c>
      <c r="F339" s="23" t="n"/>
      <c r="G339" s="21">
        <f>IF($D339="","",IFERROR(IF(VLOOKUP($D339,'Base produits'!$B$5:$J$91,9,FALSE)="","",VLOOKUP($D339,'Base produits'!$B$5:$J$91,9,FALSE)),""))</f>
        <v/>
      </c>
      <c r="H339" s="32" t="n"/>
      <c r="I339" s="21">
        <f>IF(OR($D339="",$F339="",$G339=""),"",$F339*$G339*(1-IFERROR($H339,0)))</f>
        <v/>
      </c>
      <c r="J339" s="21">
        <f>IF(OR($D339="",$F339="",$G339=""),"",($G339-IFERROR(VLOOKUP($D339,'Base produits'!$B$5:$H$91,7,FALSE),0))*$F339*(1-IFERROR($H339,0)))</f>
        <v/>
      </c>
      <c r="K339" s="23" t="n"/>
      <c r="L339" s="29" t="n"/>
    </row>
    <row r="340" ht="23" customHeight="1">
      <c r="A340" s="30" t="n"/>
      <c r="B340" s="23" t="n"/>
      <c r="C340" s="29" t="n"/>
      <c r="D340" s="23" t="n"/>
      <c r="E340" s="31">
        <f>IF($D340="","",IFERROR(VLOOKUP($D340,'Base produits'!$B$5:$F$91,5,FALSE),""))</f>
        <v/>
      </c>
      <c r="F340" s="23" t="n"/>
      <c r="G340" s="21">
        <f>IF($D340="","",IFERROR(IF(VLOOKUP($D340,'Base produits'!$B$5:$J$91,9,FALSE)="","",VLOOKUP($D340,'Base produits'!$B$5:$J$91,9,FALSE)),""))</f>
        <v/>
      </c>
      <c r="H340" s="32" t="n"/>
      <c r="I340" s="21">
        <f>IF(OR($D340="",$F340="",$G340=""),"",$F340*$G340*(1-IFERROR($H340,0)))</f>
        <v/>
      </c>
      <c r="J340" s="21">
        <f>IF(OR($D340="",$F340="",$G340=""),"",($G340-IFERROR(VLOOKUP($D340,'Base produits'!$B$5:$H$91,7,FALSE),0))*$F340*(1-IFERROR($H340,0)))</f>
        <v/>
      </c>
      <c r="K340" s="23" t="n"/>
      <c r="L340" s="29" t="n"/>
    </row>
    <row r="341" ht="23" customHeight="1">
      <c r="A341" s="30" t="n"/>
      <c r="B341" s="23" t="n"/>
      <c r="C341" s="29" t="n"/>
      <c r="D341" s="23" t="n"/>
      <c r="E341" s="31">
        <f>IF($D341="","",IFERROR(VLOOKUP($D341,'Base produits'!$B$5:$F$91,5,FALSE),""))</f>
        <v/>
      </c>
      <c r="F341" s="23" t="n"/>
      <c r="G341" s="21">
        <f>IF($D341="","",IFERROR(IF(VLOOKUP($D341,'Base produits'!$B$5:$J$91,9,FALSE)="","",VLOOKUP($D341,'Base produits'!$B$5:$J$91,9,FALSE)),""))</f>
        <v/>
      </c>
      <c r="H341" s="32" t="n"/>
      <c r="I341" s="21">
        <f>IF(OR($D341="",$F341="",$G341=""),"",$F341*$G341*(1-IFERROR($H341,0)))</f>
        <v/>
      </c>
      <c r="J341" s="21">
        <f>IF(OR($D341="",$F341="",$G341=""),"",($G341-IFERROR(VLOOKUP($D341,'Base produits'!$B$5:$H$91,7,FALSE),0))*$F341*(1-IFERROR($H341,0)))</f>
        <v/>
      </c>
      <c r="K341" s="23" t="n"/>
      <c r="L341" s="29" t="n"/>
    </row>
    <row r="342" ht="23" customHeight="1">
      <c r="A342" s="30" t="n"/>
      <c r="B342" s="23" t="n"/>
      <c r="C342" s="29" t="n"/>
      <c r="D342" s="23" t="n"/>
      <c r="E342" s="31">
        <f>IF($D342="","",IFERROR(VLOOKUP($D342,'Base produits'!$B$5:$F$91,5,FALSE),""))</f>
        <v/>
      </c>
      <c r="F342" s="23" t="n"/>
      <c r="G342" s="21">
        <f>IF($D342="","",IFERROR(IF(VLOOKUP($D342,'Base produits'!$B$5:$J$91,9,FALSE)="","",VLOOKUP($D342,'Base produits'!$B$5:$J$91,9,FALSE)),""))</f>
        <v/>
      </c>
      <c r="H342" s="32" t="n"/>
      <c r="I342" s="21">
        <f>IF(OR($D342="",$F342="",$G342=""),"",$F342*$G342*(1-IFERROR($H342,0)))</f>
        <v/>
      </c>
      <c r="J342" s="21">
        <f>IF(OR($D342="",$F342="",$G342=""),"",($G342-IFERROR(VLOOKUP($D342,'Base produits'!$B$5:$H$91,7,FALSE),0))*$F342*(1-IFERROR($H342,0)))</f>
        <v/>
      </c>
      <c r="K342" s="23" t="n"/>
      <c r="L342" s="29" t="n"/>
    </row>
    <row r="343" ht="23" customHeight="1">
      <c r="A343" s="30" t="n"/>
      <c r="B343" s="23" t="n"/>
      <c r="C343" s="29" t="n"/>
      <c r="D343" s="23" t="n"/>
      <c r="E343" s="31">
        <f>IF($D343="","",IFERROR(VLOOKUP($D343,'Base produits'!$B$5:$F$91,5,FALSE),""))</f>
        <v/>
      </c>
      <c r="F343" s="23" t="n"/>
      <c r="G343" s="21">
        <f>IF($D343="","",IFERROR(IF(VLOOKUP($D343,'Base produits'!$B$5:$J$91,9,FALSE)="","",VLOOKUP($D343,'Base produits'!$B$5:$J$91,9,FALSE)),""))</f>
        <v/>
      </c>
      <c r="H343" s="32" t="n"/>
      <c r="I343" s="21">
        <f>IF(OR($D343="",$F343="",$G343=""),"",$F343*$G343*(1-IFERROR($H343,0)))</f>
        <v/>
      </c>
      <c r="J343" s="21">
        <f>IF(OR($D343="",$F343="",$G343=""),"",($G343-IFERROR(VLOOKUP($D343,'Base produits'!$B$5:$H$91,7,FALSE),0))*$F343*(1-IFERROR($H343,0)))</f>
        <v/>
      </c>
      <c r="K343" s="23" t="n"/>
      <c r="L343" s="29" t="n"/>
    </row>
    <row r="344" ht="23" customHeight="1">
      <c r="A344" s="30" t="n"/>
      <c r="B344" s="23" t="n"/>
      <c r="C344" s="29" t="n"/>
      <c r="D344" s="23" t="n"/>
      <c r="E344" s="31">
        <f>IF($D344="","",IFERROR(VLOOKUP($D344,'Base produits'!$B$5:$F$91,5,FALSE),""))</f>
        <v/>
      </c>
      <c r="F344" s="23" t="n"/>
      <c r="G344" s="21">
        <f>IF($D344="","",IFERROR(IF(VLOOKUP($D344,'Base produits'!$B$5:$J$91,9,FALSE)="","",VLOOKUP($D344,'Base produits'!$B$5:$J$91,9,FALSE)),""))</f>
        <v/>
      </c>
      <c r="H344" s="32" t="n"/>
      <c r="I344" s="21">
        <f>IF(OR($D344="",$F344="",$G344=""),"",$F344*$G344*(1-IFERROR($H344,0)))</f>
        <v/>
      </c>
      <c r="J344" s="21">
        <f>IF(OR($D344="",$F344="",$G344=""),"",($G344-IFERROR(VLOOKUP($D344,'Base produits'!$B$5:$H$91,7,FALSE),0))*$F344*(1-IFERROR($H344,0)))</f>
        <v/>
      </c>
      <c r="K344" s="23" t="n"/>
      <c r="L344" s="29" t="n"/>
    </row>
    <row r="345" ht="23" customHeight="1">
      <c r="A345" s="30" t="n"/>
      <c r="B345" s="23" t="n"/>
      <c r="C345" s="29" t="n"/>
      <c r="D345" s="23" t="n"/>
      <c r="E345" s="31">
        <f>IF($D345="","",IFERROR(VLOOKUP($D345,'Base produits'!$B$5:$F$91,5,FALSE),""))</f>
        <v/>
      </c>
      <c r="F345" s="23" t="n"/>
      <c r="G345" s="21">
        <f>IF($D345="","",IFERROR(IF(VLOOKUP($D345,'Base produits'!$B$5:$J$91,9,FALSE)="","",VLOOKUP($D345,'Base produits'!$B$5:$J$91,9,FALSE)),""))</f>
        <v/>
      </c>
      <c r="H345" s="32" t="n"/>
      <c r="I345" s="21">
        <f>IF(OR($D345="",$F345="",$G345=""),"",$F345*$G345*(1-IFERROR($H345,0)))</f>
        <v/>
      </c>
      <c r="J345" s="21">
        <f>IF(OR($D345="",$F345="",$G345=""),"",($G345-IFERROR(VLOOKUP($D345,'Base produits'!$B$5:$H$91,7,FALSE),0))*$F345*(1-IFERROR($H345,0)))</f>
        <v/>
      </c>
      <c r="K345" s="23" t="n"/>
      <c r="L345" s="29" t="n"/>
    </row>
    <row r="346" ht="23" customHeight="1">
      <c r="A346" s="30" t="n"/>
      <c r="B346" s="23" t="n"/>
      <c r="C346" s="29" t="n"/>
      <c r="D346" s="23" t="n"/>
      <c r="E346" s="31">
        <f>IF($D346="","",IFERROR(VLOOKUP($D346,'Base produits'!$B$5:$F$91,5,FALSE),""))</f>
        <v/>
      </c>
      <c r="F346" s="23" t="n"/>
      <c r="G346" s="21">
        <f>IF($D346="","",IFERROR(IF(VLOOKUP($D346,'Base produits'!$B$5:$J$91,9,FALSE)="","",VLOOKUP($D346,'Base produits'!$B$5:$J$91,9,FALSE)),""))</f>
        <v/>
      </c>
      <c r="H346" s="32" t="n"/>
      <c r="I346" s="21">
        <f>IF(OR($D346="",$F346="",$G346=""),"",$F346*$G346*(1-IFERROR($H346,0)))</f>
        <v/>
      </c>
      <c r="J346" s="21">
        <f>IF(OR($D346="",$F346="",$G346=""),"",($G346-IFERROR(VLOOKUP($D346,'Base produits'!$B$5:$H$91,7,FALSE),0))*$F346*(1-IFERROR($H346,0)))</f>
        <v/>
      </c>
      <c r="K346" s="23" t="n"/>
      <c r="L346" s="29" t="n"/>
    </row>
    <row r="347" ht="23" customHeight="1">
      <c r="A347" s="30" t="n"/>
      <c r="B347" s="23" t="n"/>
      <c r="C347" s="29" t="n"/>
      <c r="D347" s="23" t="n"/>
      <c r="E347" s="31">
        <f>IF($D347="","",IFERROR(VLOOKUP($D347,'Base produits'!$B$5:$F$91,5,FALSE),""))</f>
        <v/>
      </c>
      <c r="F347" s="23" t="n"/>
      <c r="G347" s="21">
        <f>IF($D347="","",IFERROR(IF(VLOOKUP($D347,'Base produits'!$B$5:$J$91,9,FALSE)="","",VLOOKUP($D347,'Base produits'!$B$5:$J$91,9,FALSE)),""))</f>
        <v/>
      </c>
      <c r="H347" s="32" t="n"/>
      <c r="I347" s="21">
        <f>IF(OR($D347="",$F347="",$G347=""),"",$F347*$G347*(1-IFERROR($H347,0)))</f>
        <v/>
      </c>
      <c r="J347" s="21">
        <f>IF(OR($D347="",$F347="",$G347=""),"",($G347-IFERROR(VLOOKUP($D347,'Base produits'!$B$5:$H$91,7,FALSE),0))*$F347*(1-IFERROR($H347,0)))</f>
        <v/>
      </c>
      <c r="K347" s="23" t="n"/>
      <c r="L347" s="29" t="n"/>
    </row>
    <row r="348" ht="23" customHeight="1">
      <c r="A348" s="30" t="n"/>
      <c r="B348" s="23" t="n"/>
      <c r="C348" s="29" t="n"/>
      <c r="D348" s="23" t="n"/>
      <c r="E348" s="31">
        <f>IF($D348="","",IFERROR(VLOOKUP($D348,'Base produits'!$B$5:$F$91,5,FALSE),""))</f>
        <v/>
      </c>
      <c r="F348" s="23" t="n"/>
      <c r="G348" s="21">
        <f>IF($D348="","",IFERROR(IF(VLOOKUP($D348,'Base produits'!$B$5:$J$91,9,FALSE)="","",VLOOKUP($D348,'Base produits'!$B$5:$J$91,9,FALSE)),""))</f>
        <v/>
      </c>
      <c r="H348" s="32" t="n"/>
      <c r="I348" s="21">
        <f>IF(OR($D348="",$F348="",$G348=""),"",$F348*$G348*(1-IFERROR($H348,0)))</f>
        <v/>
      </c>
      <c r="J348" s="21">
        <f>IF(OR($D348="",$F348="",$G348=""),"",($G348-IFERROR(VLOOKUP($D348,'Base produits'!$B$5:$H$91,7,FALSE),0))*$F348*(1-IFERROR($H348,0)))</f>
        <v/>
      </c>
      <c r="K348" s="23" t="n"/>
      <c r="L348" s="29" t="n"/>
    </row>
    <row r="349" ht="23" customHeight="1">
      <c r="A349" s="30" t="n"/>
      <c r="B349" s="23" t="n"/>
      <c r="C349" s="29" t="n"/>
      <c r="D349" s="23" t="n"/>
      <c r="E349" s="31">
        <f>IF($D349="","",IFERROR(VLOOKUP($D349,'Base produits'!$B$5:$F$91,5,FALSE),""))</f>
        <v/>
      </c>
      <c r="F349" s="23" t="n"/>
      <c r="G349" s="21">
        <f>IF($D349="","",IFERROR(IF(VLOOKUP($D349,'Base produits'!$B$5:$J$91,9,FALSE)="","",VLOOKUP($D349,'Base produits'!$B$5:$J$91,9,FALSE)),""))</f>
        <v/>
      </c>
      <c r="H349" s="32" t="n"/>
      <c r="I349" s="21">
        <f>IF(OR($D349="",$F349="",$G349=""),"",$F349*$G349*(1-IFERROR($H349,0)))</f>
        <v/>
      </c>
      <c r="J349" s="21">
        <f>IF(OR($D349="",$F349="",$G349=""),"",($G349-IFERROR(VLOOKUP($D349,'Base produits'!$B$5:$H$91,7,FALSE),0))*$F349*(1-IFERROR($H349,0)))</f>
        <v/>
      </c>
      <c r="K349" s="23" t="n"/>
      <c r="L349" s="29" t="n"/>
    </row>
    <row r="350" ht="23" customHeight="1">
      <c r="A350" s="30" t="n"/>
      <c r="B350" s="23" t="n"/>
      <c r="C350" s="29" t="n"/>
      <c r="D350" s="23" t="n"/>
      <c r="E350" s="31">
        <f>IF($D350="","",IFERROR(VLOOKUP($D350,'Base produits'!$B$5:$F$91,5,FALSE),""))</f>
        <v/>
      </c>
      <c r="F350" s="23" t="n"/>
      <c r="G350" s="21">
        <f>IF($D350="","",IFERROR(IF(VLOOKUP($D350,'Base produits'!$B$5:$J$91,9,FALSE)="","",VLOOKUP($D350,'Base produits'!$B$5:$J$91,9,FALSE)),""))</f>
        <v/>
      </c>
      <c r="H350" s="32" t="n"/>
      <c r="I350" s="21">
        <f>IF(OR($D350="",$F350="",$G350=""),"",$F350*$G350*(1-IFERROR($H350,0)))</f>
        <v/>
      </c>
      <c r="J350" s="21">
        <f>IF(OR($D350="",$F350="",$G350=""),"",($G350-IFERROR(VLOOKUP($D350,'Base produits'!$B$5:$H$91,7,FALSE),0))*$F350*(1-IFERROR($H350,0)))</f>
        <v/>
      </c>
      <c r="K350" s="23" t="n"/>
      <c r="L350" s="29" t="n"/>
    </row>
    <row r="351" ht="23" customHeight="1">
      <c r="A351" s="30" t="n"/>
      <c r="B351" s="23" t="n"/>
      <c r="C351" s="29" t="n"/>
      <c r="D351" s="23" t="n"/>
      <c r="E351" s="31">
        <f>IF($D351="","",IFERROR(VLOOKUP($D351,'Base produits'!$B$5:$F$91,5,FALSE),""))</f>
        <v/>
      </c>
      <c r="F351" s="23" t="n"/>
      <c r="G351" s="21">
        <f>IF($D351="","",IFERROR(IF(VLOOKUP($D351,'Base produits'!$B$5:$J$91,9,FALSE)="","",VLOOKUP($D351,'Base produits'!$B$5:$J$91,9,FALSE)),""))</f>
        <v/>
      </c>
      <c r="H351" s="32" t="n"/>
      <c r="I351" s="21">
        <f>IF(OR($D351="",$F351="",$G351=""),"",$F351*$G351*(1-IFERROR($H351,0)))</f>
        <v/>
      </c>
      <c r="J351" s="21">
        <f>IF(OR($D351="",$F351="",$G351=""),"",($G351-IFERROR(VLOOKUP($D351,'Base produits'!$B$5:$H$91,7,FALSE),0))*$F351*(1-IFERROR($H351,0)))</f>
        <v/>
      </c>
      <c r="K351" s="23" t="n"/>
      <c r="L351" s="29" t="n"/>
    </row>
    <row r="352" ht="23" customHeight="1">
      <c r="A352" s="30" t="n"/>
      <c r="B352" s="23" t="n"/>
      <c r="C352" s="29" t="n"/>
      <c r="D352" s="23" t="n"/>
      <c r="E352" s="31">
        <f>IF($D352="","",IFERROR(VLOOKUP($D352,'Base produits'!$B$5:$F$91,5,FALSE),""))</f>
        <v/>
      </c>
      <c r="F352" s="23" t="n"/>
      <c r="G352" s="21">
        <f>IF($D352="","",IFERROR(IF(VLOOKUP($D352,'Base produits'!$B$5:$J$91,9,FALSE)="","",VLOOKUP($D352,'Base produits'!$B$5:$J$91,9,FALSE)),""))</f>
        <v/>
      </c>
      <c r="H352" s="32" t="n"/>
      <c r="I352" s="21">
        <f>IF(OR($D352="",$F352="",$G352=""),"",$F352*$G352*(1-IFERROR($H352,0)))</f>
        <v/>
      </c>
      <c r="J352" s="21">
        <f>IF(OR($D352="",$F352="",$G352=""),"",($G352-IFERROR(VLOOKUP($D352,'Base produits'!$B$5:$H$91,7,FALSE),0))*$F352*(1-IFERROR($H352,0)))</f>
        <v/>
      </c>
      <c r="K352" s="23" t="n"/>
      <c r="L352" s="29" t="n"/>
    </row>
    <row r="353" ht="23" customHeight="1">
      <c r="A353" s="30" t="n"/>
      <c r="B353" s="23" t="n"/>
      <c r="C353" s="29" t="n"/>
      <c r="D353" s="23" t="n"/>
      <c r="E353" s="31">
        <f>IF($D353="","",IFERROR(VLOOKUP($D353,'Base produits'!$B$5:$F$91,5,FALSE),""))</f>
        <v/>
      </c>
      <c r="F353" s="23" t="n"/>
      <c r="G353" s="21">
        <f>IF($D353="","",IFERROR(IF(VLOOKUP($D353,'Base produits'!$B$5:$J$91,9,FALSE)="","",VLOOKUP($D353,'Base produits'!$B$5:$J$91,9,FALSE)),""))</f>
        <v/>
      </c>
      <c r="H353" s="32" t="n"/>
      <c r="I353" s="21">
        <f>IF(OR($D353="",$F353="",$G353=""),"",$F353*$G353*(1-IFERROR($H353,0)))</f>
        <v/>
      </c>
      <c r="J353" s="21">
        <f>IF(OR($D353="",$F353="",$G353=""),"",($G353-IFERROR(VLOOKUP($D353,'Base produits'!$B$5:$H$91,7,FALSE),0))*$F353*(1-IFERROR($H353,0)))</f>
        <v/>
      </c>
      <c r="K353" s="23" t="n"/>
      <c r="L353" s="29" t="n"/>
    </row>
    <row r="354" ht="23" customHeight="1">
      <c r="A354" s="30" t="n"/>
      <c r="B354" s="23" t="n"/>
      <c r="C354" s="29" t="n"/>
      <c r="D354" s="23" t="n"/>
      <c r="E354" s="31">
        <f>IF($D354="","",IFERROR(VLOOKUP($D354,'Base produits'!$B$5:$F$91,5,FALSE),""))</f>
        <v/>
      </c>
      <c r="F354" s="23" t="n"/>
      <c r="G354" s="21">
        <f>IF($D354="","",IFERROR(IF(VLOOKUP($D354,'Base produits'!$B$5:$J$91,9,FALSE)="","",VLOOKUP($D354,'Base produits'!$B$5:$J$91,9,FALSE)),""))</f>
        <v/>
      </c>
      <c r="H354" s="32" t="n"/>
      <c r="I354" s="21">
        <f>IF(OR($D354="",$F354="",$G354=""),"",$F354*$G354*(1-IFERROR($H354,0)))</f>
        <v/>
      </c>
      <c r="J354" s="21">
        <f>IF(OR($D354="",$F354="",$G354=""),"",($G354-IFERROR(VLOOKUP($D354,'Base produits'!$B$5:$H$91,7,FALSE),0))*$F354*(1-IFERROR($H354,0)))</f>
        <v/>
      </c>
      <c r="K354" s="23" t="n"/>
      <c r="L354" s="29" t="n"/>
    </row>
    <row r="355" ht="23" customHeight="1">
      <c r="A355" s="30" t="n"/>
      <c r="B355" s="23" t="n"/>
      <c r="C355" s="29" t="n"/>
      <c r="D355" s="23" t="n"/>
      <c r="E355" s="31">
        <f>IF($D355="","",IFERROR(VLOOKUP($D355,'Base produits'!$B$5:$F$91,5,FALSE),""))</f>
        <v/>
      </c>
      <c r="F355" s="23" t="n"/>
      <c r="G355" s="21">
        <f>IF($D355="","",IFERROR(IF(VLOOKUP($D355,'Base produits'!$B$5:$J$91,9,FALSE)="","",VLOOKUP($D355,'Base produits'!$B$5:$J$91,9,FALSE)),""))</f>
        <v/>
      </c>
      <c r="H355" s="32" t="n"/>
      <c r="I355" s="21">
        <f>IF(OR($D355="",$F355="",$G355=""),"",$F355*$G355*(1-IFERROR($H355,0)))</f>
        <v/>
      </c>
      <c r="J355" s="21">
        <f>IF(OR($D355="",$F355="",$G355=""),"",($G355-IFERROR(VLOOKUP($D355,'Base produits'!$B$5:$H$91,7,FALSE),0))*$F355*(1-IFERROR($H355,0)))</f>
        <v/>
      </c>
      <c r="K355" s="23" t="n"/>
      <c r="L355" s="29" t="n"/>
    </row>
    <row r="356" ht="23" customHeight="1">
      <c r="A356" s="30" t="n"/>
      <c r="B356" s="23" t="n"/>
      <c r="C356" s="29" t="n"/>
      <c r="D356" s="23" t="n"/>
      <c r="E356" s="31">
        <f>IF($D356="","",IFERROR(VLOOKUP($D356,'Base produits'!$B$5:$F$91,5,FALSE),""))</f>
        <v/>
      </c>
      <c r="F356" s="23" t="n"/>
      <c r="G356" s="21">
        <f>IF($D356="","",IFERROR(IF(VLOOKUP($D356,'Base produits'!$B$5:$J$91,9,FALSE)="","",VLOOKUP($D356,'Base produits'!$B$5:$J$91,9,FALSE)),""))</f>
        <v/>
      </c>
      <c r="H356" s="32" t="n"/>
      <c r="I356" s="21">
        <f>IF(OR($D356="",$F356="",$G356=""),"",$F356*$G356*(1-IFERROR($H356,0)))</f>
        <v/>
      </c>
      <c r="J356" s="21">
        <f>IF(OR($D356="",$F356="",$G356=""),"",($G356-IFERROR(VLOOKUP($D356,'Base produits'!$B$5:$H$91,7,FALSE),0))*$F356*(1-IFERROR($H356,0)))</f>
        <v/>
      </c>
      <c r="K356" s="23" t="n"/>
      <c r="L356" s="29" t="n"/>
    </row>
    <row r="357" ht="23" customHeight="1">
      <c r="A357" s="30" t="n"/>
      <c r="B357" s="23" t="n"/>
      <c r="C357" s="29" t="n"/>
      <c r="D357" s="23" t="n"/>
      <c r="E357" s="31">
        <f>IF($D357="","",IFERROR(VLOOKUP($D357,'Base produits'!$B$5:$F$91,5,FALSE),""))</f>
        <v/>
      </c>
      <c r="F357" s="23" t="n"/>
      <c r="G357" s="21">
        <f>IF($D357="","",IFERROR(IF(VLOOKUP($D357,'Base produits'!$B$5:$J$91,9,FALSE)="","",VLOOKUP($D357,'Base produits'!$B$5:$J$91,9,FALSE)),""))</f>
        <v/>
      </c>
      <c r="H357" s="32" t="n"/>
      <c r="I357" s="21">
        <f>IF(OR($D357="",$F357="",$G357=""),"",$F357*$G357*(1-IFERROR($H357,0)))</f>
        <v/>
      </c>
      <c r="J357" s="21">
        <f>IF(OR($D357="",$F357="",$G357=""),"",($G357-IFERROR(VLOOKUP($D357,'Base produits'!$B$5:$H$91,7,FALSE),0))*$F357*(1-IFERROR($H357,0)))</f>
        <v/>
      </c>
      <c r="K357" s="23" t="n"/>
      <c r="L357" s="29" t="n"/>
    </row>
    <row r="358" ht="23" customHeight="1">
      <c r="A358" s="30" t="n"/>
      <c r="B358" s="23" t="n"/>
      <c r="C358" s="29" t="n"/>
      <c r="D358" s="23" t="n"/>
      <c r="E358" s="31">
        <f>IF($D358="","",IFERROR(VLOOKUP($D358,'Base produits'!$B$5:$F$91,5,FALSE),""))</f>
        <v/>
      </c>
      <c r="F358" s="23" t="n"/>
      <c r="G358" s="21">
        <f>IF($D358="","",IFERROR(IF(VLOOKUP($D358,'Base produits'!$B$5:$J$91,9,FALSE)="","",VLOOKUP($D358,'Base produits'!$B$5:$J$91,9,FALSE)),""))</f>
        <v/>
      </c>
      <c r="H358" s="32" t="n"/>
      <c r="I358" s="21">
        <f>IF(OR($D358="",$F358="",$G358=""),"",$F358*$G358*(1-IFERROR($H358,0)))</f>
        <v/>
      </c>
      <c r="J358" s="21">
        <f>IF(OR($D358="",$F358="",$G358=""),"",($G358-IFERROR(VLOOKUP($D358,'Base produits'!$B$5:$H$91,7,FALSE),0))*$F358*(1-IFERROR($H358,0)))</f>
        <v/>
      </c>
      <c r="K358" s="23" t="n"/>
      <c r="L358" s="29" t="n"/>
    </row>
    <row r="359" ht="23" customHeight="1">
      <c r="A359" s="30" t="n"/>
      <c r="B359" s="23" t="n"/>
      <c r="C359" s="29" t="n"/>
      <c r="D359" s="23" t="n"/>
      <c r="E359" s="31">
        <f>IF($D359="","",IFERROR(VLOOKUP($D359,'Base produits'!$B$5:$F$91,5,FALSE),""))</f>
        <v/>
      </c>
      <c r="F359" s="23" t="n"/>
      <c r="G359" s="21">
        <f>IF($D359="","",IFERROR(IF(VLOOKUP($D359,'Base produits'!$B$5:$J$91,9,FALSE)="","",VLOOKUP($D359,'Base produits'!$B$5:$J$91,9,FALSE)),""))</f>
        <v/>
      </c>
      <c r="H359" s="32" t="n"/>
      <c r="I359" s="21">
        <f>IF(OR($D359="",$F359="",$G359=""),"",$F359*$G359*(1-IFERROR($H359,0)))</f>
        <v/>
      </c>
      <c r="J359" s="21">
        <f>IF(OR($D359="",$F359="",$G359=""),"",($G359-IFERROR(VLOOKUP($D359,'Base produits'!$B$5:$H$91,7,FALSE),0))*$F359*(1-IFERROR($H359,0)))</f>
        <v/>
      </c>
      <c r="K359" s="23" t="n"/>
      <c r="L359" s="29" t="n"/>
    </row>
    <row r="360" ht="23" customHeight="1">
      <c r="A360" s="30" t="n"/>
      <c r="B360" s="23" t="n"/>
      <c r="C360" s="29" t="n"/>
      <c r="D360" s="23" t="n"/>
      <c r="E360" s="31">
        <f>IF($D360="","",IFERROR(VLOOKUP($D360,'Base produits'!$B$5:$F$91,5,FALSE),""))</f>
        <v/>
      </c>
      <c r="F360" s="23" t="n"/>
      <c r="G360" s="21">
        <f>IF($D360="","",IFERROR(IF(VLOOKUP($D360,'Base produits'!$B$5:$J$91,9,FALSE)="","",VLOOKUP($D360,'Base produits'!$B$5:$J$91,9,FALSE)),""))</f>
        <v/>
      </c>
      <c r="H360" s="32" t="n"/>
      <c r="I360" s="21">
        <f>IF(OR($D360="",$F360="",$G360=""),"",$F360*$G360*(1-IFERROR($H360,0)))</f>
        <v/>
      </c>
      <c r="J360" s="21">
        <f>IF(OR($D360="",$F360="",$G360=""),"",($G360-IFERROR(VLOOKUP($D360,'Base produits'!$B$5:$H$91,7,FALSE),0))*$F360*(1-IFERROR($H360,0)))</f>
        <v/>
      </c>
      <c r="K360" s="23" t="n"/>
      <c r="L360" s="29" t="n"/>
    </row>
    <row r="361" ht="23" customHeight="1">
      <c r="A361" s="30" t="n"/>
      <c r="B361" s="23" t="n"/>
      <c r="C361" s="29" t="n"/>
      <c r="D361" s="23" t="n"/>
      <c r="E361" s="31">
        <f>IF($D361="","",IFERROR(VLOOKUP($D361,'Base produits'!$B$5:$F$91,5,FALSE),""))</f>
        <v/>
      </c>
      <c r="F361" s="23" t="n"/>
      <c r="G361" s="21">
        <f>IF($D361="","",IFERROR(IF(VLOOKUP($D361,'Base produits'!$B$5:$J$91,9,FALSE)="","",VLOOKUP($D361,'Base produits'!$B$5:$J$91,9,FALSE)),""))</f>
        <v/>
      </c>
      <c r="H361" s="32" t="n"/>
      <c r="I361" s="21">
        <f>IF(OR($D361="",$F361="",$G361=""),"",$F361*$G361*(1-IFERROR($H361,0)))</f>
        <v/>
      </c>
      <c r="J361" s="21">
        <f>IF(OR($D361="",$F361="",$G361=""),"",($G361-IFERROR(VLOOKUP($D361,'Base produits'!$B$5:$H$91,7,FALSE),0))*$F361*(1-IFERROR($H361,0)))</f>
        <v/>
      </c>
      <c r="K361" s="23" t="n"/>
      <c r="L361" s="29" t="n"/>
    </row>
    <row r="362" ht="23" customHeight="1">
      <c r="A362" s="30" t="n"/>
      <c r="B362" s="23" t="n"/>
      <c r="C362" s="29" t="n"/>
      <c r="D362" s="23" t="n"/>
      <c r="E362" s="31">
        <f>IF($D362="","",IFERROR(VLOOKUP($D362,'Base produits'!$B$5:$F$91,5,FALSE),""))</f>
        <v/>
      </c>
      <c r="F362" s="23" t="n"/>
      <c r="G362" s="21">
        <f>IF($D362="","",IFERROR(IF(VLOOKUP($D362,'Base produits'!$B$5:$J$91,9,FALSE)="","",VLOOKUP($D362,'Base produits'!$B$5:$J$91,9,FALSE)),""))</f>
        <v/>
      </c>
      <c r="H362" s="32" t="n"/>
      <c r="I362" s="21">
        <f>IF(OR($D362="",$F362="",$G362=""),"",$F362*$G362*(1-IFERROR($H362,0)))</f>
        <v/>
      </c>
      <c r="J362" s="21">
        <f>IF(OR($D362="",$F362="",$G362=""),"",($G362-IFERROR(VLOOKUP($D362,'Base produits'!$B$5:$H$91,7,FALSE),0))*$F362*(1-IFERROR($H362,0)))</f>
        <v/>
      </c>
      <c r="K362" s="23" t="n"/>
      <c r="L362" s="29" t="n"/>
    </row>
    <row r="363" ht="23" customHeight="1">
      <c r="A363" s="30" t="n"/>
      <c r="B363" s="23" t="n"/>
      <c r="C363" s="29" t="n"/>
      <c r="D363" s="23" t="n"/>
      <c r="E363" s="31">
        <f>IF($D363="","",IFERROR(VLOOKUP($D363,'Base produits'!$B$5:$F$91,5,FALSE),""))</f>
        <v/>
      </c>
      <c r="F363" s="23" t="n"/>
      <c r="G363" s="21">
        <f>IF($D363="","",IFERROR(IF(VLOOKUP($D363,'Base produits'!$B$5:$J$91,9,FALSE)="","",VLOOKUP($D363,'Base produits'!$B$5:$J$91,9,FALSE)),""))</f>
        <v/>
      </c>
      <c r="H363" s="32" t="n"/>
      <c r="I363" s="21">
        <f>IF(OR($D363="",$F363="",$G363=""),"",$F363*$G363*(1-IFERROR($H363,0)))</f>
        <v/>
      </c>
      <c r="J363" s="21">
        <f>IF(OR($D363="",$F363="",$G363=""),"",($G363-IFERROR(VLOOKUP($D363,'Base produits'!$B$5:$H$91,7,FALSE),0))*$F363*(1-IFERROR($H363,0)))</f>
        <v/>
      </c>
      <c r="K363" s="23" t="n"/>
      <c r="L363" s="29" t="n"/>
    </row>
    <row r="364" ht="23" customHeight="1">
      <c r="A364" s="30" t="n"/>
      <c r="B364" s="23" t="n"/>
      <c r="C364" s="29" t="n"/>
      <c r="D364" s="23" t="n"/>
      <c r="E364" s="31">
        <f>IF($D364="","",IFERROR(VLOOKUP($D364,'Base produits'!$B$5:$F$91,5,FALSE),""))</f>
        <v/>
      </c>
      <c r="F364" s="23" t="n"/>
      <c r="G364" s="21">
        <f>IF($D364="","",IFERROR(IF(VLOOKUP($D364,'Base produits'!$B$5:$J$91,9,FALSE)="","",VLOOKUP($D364,'Base produits'!$B$5:$J$91,9,FALSE)),""))</f>
        <v/>
      </c>
      <c r="H364" s="32" t="n"/>
      <c r="I364" s="21">
        <f>IF(OR($D364="",$F364="",$G364=""),"",$F364*$G364*(1-IFERROR($H364,0)))</f>
        <v/>
      </c>
      <c r="J364" s="21">
        <f>IF(OR($D364="",$F364="",$G364=""),"",($G364-IFERROR(VLOOKUP($D364,'Base produits'!$B$5:$H$91,7,FALSE),0))*$F364*(1-IFERROR($H364,0)))</f>
        <v/>
      </c>
      <c r="K364" s="23" t="n"/>
      <c r="L364" s="29" t="n"/>
    </row>
    <row r="365" ht="23" customHeight="1">
      <c r="A365" s="30" t="n"/>
      <c r="B365" s="23" t="n"/>
      <c r="C365" s="29" t="n"/>
      <c r="D365" s="23" t="n"/>
      <c r="E365" s="31">
        <f>IF($D365="","",IFERROR(VLOOKUP($D365,'Base produits'!$B$5:$F$91,5,FALSE),""))</f>
        <v/>
      </c>
      <c r="F365" s="23" t="n"/>
      <c r="G365" s="21">
        <f>IF($D365="","",IFERROR(IF(VLOOKUP($D365,'Base produits'!$B$5:$J$91,9,FALSE)="","",VLOOKUP($D365,'Base produits'!$B$5:$J$91,9,FALSE)),""))</f>
        <v/>
      </c>
      <c r="H365" s="32" t="n"/>
      <c r="I365" s="21">
        <f>IF(OR($D365="",$F365="",$G365=""),"",$F365*$G365*(1-IFERROR($H365,0)))</f>
        <v/>
      </c>
      <c r="J365" s="21">
        <f>IF(OR($D365="",$F365="",$G365=""),"",($G365-IFERROR(VLOOKUP($D365,'Base produits'!$B$5:$H$91,7,FALSE),0))*$F365*(1-IFERROR($H365,0)))</f>
        <v/>
      </c>
      <c r="K365" s="23" t="n"/>
      <c r="L365" s="29" t="n"/>
    </row>
    <row r="366" ht="23" customHeight="1">
      <c r="A366" s="30" t="n"/>
      <c r="B366" s="23" t="n"/>
      <c r="C366" s="29" t="n"/>
      <c r="D366" s="23" t="n"/>
      <c r="E366" s="31">
        <f>IF($D366="","",IFERROR(VLOOKUP($D366,'Base produits'!$B$5:$F$91,5,FALSE),""))</f>
        <v/>
      </c>
      <c r="F366" s="23" t="n"/>
      <c r="G366" s="21">
        <f>IF($D366="","",IFERROR(IF(VLOOKUP($D366,'Base produits'!$B$5:$J$91,9,FALSE)="","",VLOOKUP($D366,'Base produits'!$B$5:$J$91,9,FALSE)),""))</f>
        <v/>
      </c>
      <c r="H366" s="32" t="n"/>
      <c r="I366" s="21">
        <f>IF(OR($D366="",$F366="",$G366=""),"",$F366*$G366*(1-IFERROR($H366,0)))</f>
        <v/>
      </c>
      <c r="J366" s="21">
        <f>IF(OR($D366="",$F366="",$G366=""),"",($G366-IFERROR(VLOOKUP($D366,'Base produits'!$B$5:$H$91,7,FALSE),0))*$F366*(1-IFERROR($H366,0)))</f>
        <v/>
      </c>
      <c r="K366" s="23" t="n"/>
      <c r="L366" s="29" t="n"/>
    </row>
    <row r="367" ht="23" customHeight="1">
      <c r="A367" s="30" t="n"/>
      <c r="B367" s="23" t="n"/>
      <c r="C367" s="29" t="n"/>
      <c r="D367" s="23" t="n"/>
      <c r="E367" s="31">
        <f>IF($D367="","",IFERROR(VLOOKUP($D367,'Base produits'!$B$5:$F$91,5,FALSE),""))</f>
        <v/>
      </c>
      <c r="F367" s="23" t="n"/>
      <c r="G367" s="21">
        <f>IF($D367="","",IFERROR(IF(VLOOKUP($D367,'Base produits'!$B$5:$J$91,9,FALSE)="","",VLOOKUP($D367,'Base produits'!$B$5:$J$91,9,FALSE)),""))</f>
        <v/>
      </c>
      <c r="H367" s="32" t="n"/>
      <c r="I367" s="21">
        <f>IF(OR($D367="",$F367="",$G367=""),"",$F367*$G367*(1-IFERROR($H367,0)))</f>
        <v/>
      </c>
      <c r="J367" s="21">
        <f>IF(OR($D367="",$F367="",$G367=""),"",($G367-IFERROR(VLOOKUP($D367,'Base produits'!$B$5:$H$91,7,FALSE),0))*$F367*(1-IFERROR($H367,0)))</f>
        <v/>
      </c>
      <c r="K367" s="23" t="n"/>
      <c r="L367" s="29" t="n"/>
    </row>
    <row r="368" ht="23" customHeight="1">
      <c r="A368" s="30" t="n"/>
      <c r="B368" s="23" t="n"/>
      <c r="C368" s="29" t="n"/>
      <c r="D368" s="23" t="n"/>
      <c r="E368" s="31">
        <f>IF($D368="","",IFERROR(VLOOKUP($D368,'Base produits'!$B$5:$F$91,5,FALSE),""))</f>
        <v/>
      </c>
      <c r="F368" s="23" t="n"/>
      <c r="G368" s="21">
        <f>IF($D368="","",IFERROR(IF(VLOOKUP($D368,'Base produits'!$B$5:$J$91,9,FALSE)="","",VLOOKUP($D368,'Base produits'!$B$5:$J$91,9,FALSE)),""))</f>
        <v/>
      </c>
      <c r="H368" s="32" t="n"/>
      <c r="I368" s="21">
        <f>IF(OR($D368="",$F368="",$G368=""),"",$F368*$G368*(1-IFERROR($H368,0)))</f>
        <v/>
      </c>
      <c r="J368" s="21">
        <f>IF(OR($D368="",$F368="",$G368=""),"",($G368-IFERROR(VLOOKUP($D368,'Base produits'!$B$5:$H$91,7,FALSE),0))*$F368*(1-IFERROR($H368,0)))</f>
        <v/>
      </c>
      <c r="K368" s="23" t="n"/>
      <c r="L368" s="29" t="n"/>
    </row>
    <row r="369" ht="23" customHeight="1">
      <c r="A369" s="30" t="n"/>
      <c r="B369" s="23" t="n"/>
      <c r="C369" s="29" t="n"/>
      <c r="D369" s="23" t="n"/>
      <c r="E369" s="31">
        <f>IF($D369="","",IFERROR(VLOOKUP($D369,'Base produits'!$B$5:$F$91,5,FALSE),""))</f>
        <v/>
      </c>
      <c r="F369" s="23" t="n"/>
      <c r="G369" s="21">
        <f>IF($D369="","",IFERROR(IF(VLOOKUP($D369,'Base produits'!$B$5:$J$91,9,FALSE)="","",VLOOKUP($D369,'Base produits'!$B$5:$J$91,9,FALSE)),""))</f>
        <v/>
      </c>
      <c r="H369" s="32" t="n"/>
      <c r="I369" s="21">
        <f>IF(OR($D369="",$F369="",$G369=""),"",$F369*$G369*(1-IFERROR($H369,0)))</f>
        <v/>
      </c>
      <c r="J369" s="21">
        <f>IF(OR($D369="",$F369="",$G369=""),"",($G369-IFERROR(VLOOKUP($D369,'Base produits'!$B$5:$H$91,7,FALSE),0))*$F369*(1-IFERROR($H369,0)))</f>
        <v/>
      </c>
      <c r="K369" s="23" t="n"/>
      <c r="L369" s="29" t="n"/>
    </row>
    <row r="370" ht="23" customHeight="1">
      <c r="A370" s="30" t="n"/>
      <c r="B370" s="23" t="n"/>
      <c r="C370" s="29" t="n"/>
      <c r="D370" s="23" t="n"/>
      <c r="E370" s="31">
        <f>IF($D370="","",IFERROR(VLOOKUP($D370,'Base produits'!$B$5:$F$91,5,FALSE),""))</f>
        <v/>
      </c>
      <c r="F370" s="23" t="n"/>
      <c r="G370" s="21">
        <f>IF($D370="","",IFERROR(IF(VLOOKUP($D370,'Base produits'!$B$5:$J$91,9,FALSE)="","",VLOOKUP($D370,'Base produits'!$B$5:$J$91,9,FALSE)),""))</f>
        <v/>
      </c>
      <c r="H370" s="32" t="n"/>
      <c r="I370" s="21">
        <f>IF(OR($D370="",$F370="",$G370=""),"",$F370*$G370*(1-IFERROR($H370,0)))</f>
        <v/>
      </c>
      <c r="J370" s="21">
        <f>IF(OR($D370="",$F370="",$G370=""),"",($G370-IFERROR(VLOOKUP($D370,'Base produits'!$B$5:$H$91,7,FALSE),0))*$F370*(1-IFERROR($H370,0)))</f>
        <v/>
      </c>
      <c r="K370" s="23" t="n"/>
      <c r="L370" s="29" t="n"/>
    </row>
    <row r="371" ht="23" customHeight="1">
      <c r="A371" s="30" t="n"/>
      <c r="B371" s="23" t="n"/>
      <c r="C371" s="29" t="n"/>
      <c r="D371" s="23" t="n"/>
      <c r="E371" s="31">
        <f>IF($D371="","",IFERROR(VLOOKUP($D371,'Base produits'!$B$5:$F$91,5,FALSE),""))</f>
        <v/>
      </c>
      <c r="F371" s="23" t="n"/>
      <c r="G371" s="21">
        <f>IF($D371="","",IFERROR(IF(VLOOKUP($D371,'Base produits'!$B$5:$J$91,9,FALSE)="","",VLOOKUP($D371,'Base produits'!$B$5:$J$91,9,FALSE)),""))</f>
        <v/>
      </c>
      <c r="H371" s="32" t="n"/>
      <c r="I371" s="21">
        <f>IF(OR($D371="",$F371="",$G371=""),"",$F371*$G371*(1-IFERROR($H371,0)))</f>
        <v/>
      </c>
      <c r="J371" s="21">
        <f>IF(OR($D371="",$F371="",$G371=""),"",($G371-IFERROR(VLOOKUP($D371,'Base produits'!$B$5:$H$91,7,FALSE),0))*$F371*(1-IFERROR($H371,0)))</f>
        <v/>
      </c>
      <c r="K371" s="23" t="n"/>
      <c r="L371" s="29" t="n"/>
    </row>
    <row r="372" ht="23" customHeight="1">
      <c r="A372" s="30" t="n"/>
      <c r="B372" s="23" t="n"/>
      <c r="C372" s="29" t="n"/>
      <c r="D372" s="23" t="n"/>
      <c r="E372" s="31">
        <f>IF($D372="","",IFERROR(VLOOKUP($D372,'Base produits'!$B$5:$F$91,5,FALSE),""))</f>
        <v/>
      </c>
      <c r="F372" s="23" t="n"/>
      <c r="G372" s="21">
        <f>IF($D372="","",IFERROR(IF(VLOOKUP($D372,'Base produits'!$B$5:$J$91,9,FALSE)="","",VLOOKUP($D372,'Base produits'!$B$5:$J$91,9,FALSE)),""))</f>
        <v/>
      </c>
      <c r="H372" s="32" t="n"/>
      <c r="I372" s="21">
        <f>IF(OR($D372="",$F372="",$G372=""),"",$F372*$G372*(1-IFERROR($H372,0)))</f>
        <v/>
      </c>
      <c r="J372" s="21">
        <f>IF(OR($D372="",$F372="",$G372=""),"",($G372-IFERROR(VLOOKUP($D372,'Base produits'!$B$5:$H$91,7,FALSE),0))*$F372*(1-IFERROR($H372,0)))</f>
        <v/>
      </c>
      <c r="K372" s="23" t="n"/>
      <c r="L372" s="29" t="n"/>
    </row>
    <row r="373" ht="23" customHeight="1">
      <c r="A373" s="30" t="n"/>
      <c r="B373" s="23" t="n"/>
      <c r="C373" s="29" t="n"/>
      <c r="D373" s="23" t="n"/>
      <c r="E373" s="31">
        <f>IF($D373="","",IFERROR(VLOOKUP($D373,'Base produits'!$B$5:$F$91,5,FALSE),""))</f>
        <v/>
      </c>
      <c r="F373" s="23" t="n"/>
      <c r="G373" s="21">
        <f>IF($D373="","",IFERROR(IF(VLOOKUP($D373,'Base produits'!$B$5:$J$91,9,FALSE)="","",VLOOKUP($D373,'Base produits'!$B$5:$J$91,9,FALSE)),""))</f>
        <v/>
      </c>
      <c r="H373" s="32" t="n"/>
      <c r="I373" s="21">
        <f>IF(OR($D373="",$F373="",$G373=""),"",$F373*$G373*(1-IFERROR($H373,0)))</f>
        <v/>
      </c>
      <c r="J373" s="21">
        <f>IF(OR($D373="",$F373="",$G373=""),"",($G373-IFERROR(VLOOKUP($D373,'Base produits'!$B$5:$H$91,7,FALSE),0))*$F373*(1-IFERROR($H373,0)))</f>
        <v/>
      </c>
      <c r="K373" s="23" t="n"/>
      <c r="L373" s="29" t="n"/>
    </row>
    <row r="374" ht="23" customHeight="1">
      <c r="A374" s="30" t="n"/>
      <c r="B374" s="23" t="n"/>
      <c r="C374" s="29" t="n"/>
      <c r="D374" s="23" t="n"/>
      <c r="E374" s="31">
        <f>IF($D374="","",IFERROR(VLOOKUP($D374,'Base produits'!$B$5:$F$91,5,FALSE),""))</f>
        <v/>
      </c>
      <c r="F374" s="23" t="n"/>
      <c r="G374" s="21">
        <f>IF($D374="","",IFERROR(IF(VLOOKUP($D374,'Base produits'!$B$5:$J$91,9,FALSE)="","",VLOOKUP($D374,'Base produits'!$B$5:$J$91,9,FALSE)),""))</f>
        <v/>
      </c>
      <c r="H374" s="32" t="n"/>
      <c r="I374" s="21">
        <f>IF(OR($D374="",$F374="",$G374=""),"",$F374*$G374*(1-IFERROR($H374,0)))</f>
        <v/>
      </c>
      <c r="J374" s="21">
        <f>IF(OR($D374="",$F374="",$G374=""),"",($G374-IFERROR(VLOOKUP($D374,'Base produits'!$B$5:$H$91,7,FALSE),0))*$F374*(1-IFERROR($H374,0)))</f>
        <v/>
      </c>
      <c r="K374" s="23" t="n"/>
      <c r="L374" s="29" t="n"/>
    </row>
    <row r="375" ht="23" customHeight="1">
      <c r="A375" s="30" t="n"/>
      <c r="B375" s="23" t="n"/>
      <c r="C375" s="29" t="n"/>
      <c r="D375" s="23" t="n"/>
      <c r="E375" s="31">
        <f>IF($D375="","",IFERROR(VLOOKUP($D375,'Base produits'!$B$5:$F$91,5,FALSE),""))</f>
        <v/>
      </c>
      <c r="F375" s="23" t="n"/>
      <c r="G375" s="21">
        <f>IF($D375="","",IFERROR(IF(VLOOKUP($D375,'Base produits'!$B$5:$J$91,9,FALSE)="","",VLOOKUP($D375,'Base produits'!$B$5:$J$91,9,FALSE)),""))</f>
        <v/>
      </c>
      <c r="H375" s="32" t="n"/>
      <c r="I375" s="21">
        <f>IF(OR($D375="",$F375="",$G375=""),"",$F375*$G375*(1-IFERROR($H375,0)))</f>
        <v/>
      </c>
      <c r="J375" s="21">
        <f>IF(OR($D375="",$F375="",$G375=""),"",($G375-IFERROR(VLOOKUP($D375,'Base produits'!$B$5:$H$91,7,FALSE),0))*$F375*(1-IFERROR($H375,0)))</f>
        <v/>
      </c>
      <c r="K375" s="23" t="n"/>
      <c r="L375" s="29" t="n"/>
    </row>
    <row r="376" ht="23" customHeight="1">
      <c r="A376" s="30" t="n"/>
      <c r="B376" s="23" t="n"/>
      <c r="C376" s="29" t="n"/>
      <c r="D376" s="23" t="n"/>
      <c r="E376" s="31">
        <f>IF($D376="","",IFERROR(VLOOKUP($D376,'Base produits'!$B$5:$F$91,5,FALSE),""))</f>
        <v/>
      </c>
      <c r="F376" s="23" t="n"/>
      <c r="G376" s="21">
        <f>IF($D376="","",IFERROR(IF(VLOOKUP($D376,'Base produits'!$B$5:$J$91,9,FALSE)="","",VLOOKUP($D376,'Base produits'!$B$5:$J$91,9,FALSE)),""))</f>
        <v/>
      </c>
      <c r="H376" s="32" t="n"/>
      <c r="I376" s="21">
        <f>IF(OR($D376="",$F376="",$G376=""),"",$F376*$G376*(1-IFERROR($H376,0)))</f>
        <v/>
      </c>
      <c r="J376" s="21">
        <f>IF(OR($D376="",$F376="",$G376=""),"",($G376-IFERROR(VLOOKUP($D376,'Base produits'!$B$5:$H$91,7,FALSE),0))*$F376*(1-IFERROR($H376,0)))</f>
        <v/>
      </c>
      <c r="K376" s="23" t="n"/>
      <c r="L376" s="29" t="n"/>
    </row>
    <row r="377" ht="23" customHeight="1">
      <c r="A377" s="30" t="n"/>
      <c r="B377" s="23" t="n"/>
      <c r="C377" s="29" t="n"/>
      <c r="D377" s="23" t="n"/>
      <c r="E377" s="31">
        <f>IF($D377="","",IFERROR(VLOOKUP($D377,'Base produits'!$B$5:$F$91,5,FALSE),""))</f>
        <v/>
      </c>
      <c r="F377" s="23" t="n"/>
      <c r="G377" s="21">
        <f>IF($D377="","",IFERROR(IF(VLOOKUP($D377,'Base produits'!$B$5:$J$91,9,FALSE)="","",VLOOKUP($D377,'Base produits'!$B$5:$J$91,9,FALSE)),""))</f>
        <v/>
      </c>
      <c r="H377" s="32" t="n"/>
      <c r="I377" s="21">
        <f>IF(OR($D377="",$F377="",$G377=""),"",$F377*$G377*(1-IFERROR($H377,0)))</f>
        <v/>
      </c>
      <c r="J377" s="21">
        <f>IF(OR($D377="",$F377="",$G377=""),"",($G377-IFERROR(VLOOKUP($D377,'Base produits'!$B$5:$H$91,7,FALSE),0))*$F377*(1-IFERROR($H377,0)))</f>
        <v/>
      </c>
      <c r="K377" s="23" t="n"/>
      <c r="L377" s="29" t="n"/>
    </row>
    <row r="378" ht="23" customHeight="1">
      <c r="A378" s="30" t="n"/>
      <c r="B378" s="23" t="n"/>
      <c r="C378" s="29" t="n"/>
      <c r="D378" s="23" t="n"/>
      <c r="E378" s="31">
        <f>IF($D378="","",IFERROR(VLOOKUP($D378,'Base produits'!$B$5:$F$91,5,FALSE),""))</f>
        <v/>
      </c>
      <c r="F378" s="23" t="n"/>
      <c r="G378" s="21">
        <f>IF($D378="","",IFERROR(IF(VLOOKUP($D378,'Base produits'!$B$5:$J$91,9,FALSE)="","",VLOOKUP($D378,'Base produits'!$B$5:$J$91,9,FALSE)),""))</f>
        <v/>
      </c>
      <c r="H378" s="32" t="n"/>
      <c r="I378" s="21">
        <f>IF(OR($D378="",$F378="",$G378=""),"",$F378*$G378*(1-IFERROR($H378,0)))</f>
        <v/>
      </c>
      <c r="J378" s="21">
        <f>IF(OR($D378="",$F378="",$G378=""),"",($G378-IFERROR(VLOOKUP($D378,'Base produits'!$B$5:$H$91,7,FALSE),0))*$F378*(1-IFERROR($H378,0)))</f>
        <v/>
      </c>
      <c r="K378" s="23" t="n"/>
      <c r="L378" s="29" t="n"/>
    </row>
    <row r="379" ht="23" customHeight="1">
      <c r="A379" s="30" t="n"/>
      <c r="B379" s="23" t="n"/>
      <c r="C379" s="29" t="n"/>
      <c r="D379" s="23" t="n"/>
      <c r="E379" s="31">
        <f>IF($D379="","",IFERROR(VLOOKUP($D379,'Base produits'!$B$5:$F$91,5,FALSE),""))</f>
        <v/>
      </c>
      <c r="F379" s="23" t="n"/>
      <c r="G379" s="21">
        <f>IF($D379="","",IFERROR(IF(VLOOKUP($D379,'Base produits'!$B$5:$J$91,9,FALSE)="","",VLOOKUP($D379,'Base produits'!$B$5:$J$91,9,FALSE)),""))</f>
        <v/>
      </c>
      <c r="H379" s="32" t="n"/>
      <c r="I379" s="21">
        <f>IF(OR($D379="",$F379="",$G379=""),"",$F379*$G379*(1-IFERROR($H379,0)))</f>
        <v/>
      </c>
      <c r="J379" s="21">
        <f>IF(OR($D379="",$F379="",$G379=""),"",($G379-IFERROR(VLOOKUP($D379,'Base produits'!$B$5:$H$91,7,FALSE),0))*$F379*(1-IFERROR($H379,0)))</f>
        <v/>
      </c>
      <c r="K379" s="23" t="n"/>
      <c r="L379" s="29" t="n"/>
    </row>
    <row r="380" ht="23" customHeight="1">
      <c r="A380" s="30" t="n"/>
      <c r="B380" s="23" t="n"/>
      <c r="C380" s="29" t="n"/>
      <c r="D380" s="23" t="n"/>
      <c r="E380" s="31">
        <f>IF($D380="","",IFERROR(VLOOKUP($D380,'Base produits'!$B$5:$F$91,5,FALSE),""))</f>
        <v/>
      </c>
      <c r="F380" s="23" t="n"/>
      <c r="G380" s="21">
        <f>IF($D380="","",IFERROR(IF(VLOOKUP($D380,'Base produits'!$B$5:$J$91,9,FALSE)="","",VLOOKUP($D380,'Base produits'!$B$5:$J$91,9,FALSE)),""))</f>
        <v/>
      </c>
      <c r="H380" s="32" t="n"/>
      <c r="I380" s="21">
        <f>IF(OR($D380="",$F380="",$G380=""),"",$F380*$G380*(1-IFERROR($H380,0)))</f>
        <v/>
      </c>
      <c r="J380" s="21">
        <f>IF(OR($D380="",$F380="",$G380=""),"",($G380-IFERROR(VLOOKUP($D380,'Base produits'!$B$5:$H$91,7,FALSE),0))*$F380*(1-IFERROR($H380,0)))</f>
        <v/>
      </c>
      <c r="K380" s="23" t="n"/>
      <c r="L380" s="29" t="n"/>
    </row>
    <row r="381" ht="23" customHeight="1">
      <c r="A381" s="30" t="n"/>
      <c r="B381" s="23" t="n"/>
      <c r="C381" s="29" t="n"/>
      <c r="D381" s="23" t="n"/>
      <c r="E381" s="31">
        <f>IF($D381="","",IFERROR(VLOOKUP($D381,'Base produits'!$B$5:$F$91,5,FALSE),""))</f>
        <v/>
      </c>
      <c r="F381" s="23" t="n"/>
      <c r="G381" s="21">
        <f>IF($D381="","",IFERROR(IF(VLOOKUP($D381,'Base produits'!$B$5:$J$91,9,FALSE)="","",VLOOKUP($D381,'Base produits'!$B$5:$J$91,9,FALSE)),""))</f>
        <v/>
      </c>
      <c r="H381" s="32" t="n"/>
      <c r="I381" s="21">
        <f>IF(OR($D381="",$F381="",$G381=""),"",$F381*$G381*(1-IFERROR($H381,0)))</f>
        <v/>
      </c>
      <c r="J381" s="21">
        <f>IF(OR($D381="",$F381="",$G381=""),"",($G381-IFERROR(VLOOKUP($D381,'Base produits'!$B$5:$H$91,7,FALSE),0))*$F381*(1-IFERROR($H381,0)))</f>
        <v/>
      </c>
      <c r="K381" s="23" t="n"/>
      <c r="L381" s="29" t="n"/>
    </row>
    <row r="382" ht="23" customHeight="1">
      <c r="A382" s="30" t="n"/>
      <c r="B382" s="23" t="n"/>
      <c r="C382" s="29" t="n"/>
      <c r="D382" s="23" t="n"/>
      <c r="E382" s="31">
        <f>IF($D382="","",IFERROR(VLOOKUP($D382,'Base produits'!$B$5:$F$91,5,FALSE),""))</f>
        <v/>
      </c>
      <c r="F382" s="23" t="n"/>
      <c r="G382" s="21">
        <f>IF($D382="","",IFERROR(IF(VLOOKUP($D382,'Base produits'!$B$5:$J$91,9,FALSE)="","",VLOOKUP($D382,'Base produits'!$B$5:$J$91,9,FALSE)),""))</f>
        <v/>
      </c>
      <c r="H382" s="32" t="n"/>
      <c r="I382" s="21">
        <f>IF(OR($D382="",$F382="",$G382=""),"",$F382*$G382*(1-IFERROR($H382,0)))</f>
        <v/>
      </c>
      <c r="J382" s="21">
        <f>IF(OR($D382="",$F382="",$G382=""),"",($G382-IFERROR(VLOOKUP($D382,'Base produits'!$B$5:$H$91,7,FALSE),0))*$F382*(1-IFERROR($H382,0)))</f>
        <v/>
      </c>
      <c r="K382" s="23" t="n"/>
      <c r="L382" s="29" t="n"/>
    </row>
    <row r="383" ht="23" customHeight="1">
      <c r="A383" s="30" t="n"/>
      <c r="B383" s="23" t="n"/>
      <c r="C383" s="29" t="n"/>
      <c r="D383" s="23" t="n"/>
      <c r="E383" s="31">
        <f>IF($D383="","",IFERROR(VLOOKUP($D383,'Base produits'!$B$5:$F$91,5,FALSE),""))</f>
        <v/>
      </c>
      <c r="F383" s="23" t="n"/>
      <c r="G383" s="21">
        <f>IF($D383="","",IFERROR(IF(VLOOKUP($D383,'Base produits'!$B$5:$J$91,9,FALSE)="","",VLOOKUP($D383,'Base produits'!$B$5:$J$91,9,FALSE)),""))</f>
        <v/>
      </c>
      <c r="H383" s="32" t="n"/>
      <c r="I383" s="21">
        <f>IF(OR($D383="",$F383="",$G383=""),"",$F383*$G383*(1-IFERROR($H383,0)))</f>
        <v/>
      </c>
      <c r="J383" s="21">
        <f>IF(OR($D383="",$F383="",$G383=""),"",($G383-IFERROR(VLOOKUP($D383,'Base produits'!$B$5:$H$91,7,FALSE),0))*$F383*(1-IFERROR($H383,0)))</f>
        <v/>
      </c>
      <c r="K383" s="23" t="n"/>
      <c r="L383" s="29" t="n"/>
    </row>
    <row r="384" ht="23" customHeight="1">
      <c r="A384" s="30" t="n"/>
      <c r="B384" s="23" t="n"/>
      <c r="C384" s="29" t="n"/>
      <c r="D384" s="23" t="n"/>
      <c r="E384" s="31">
        <f>IF($D384="","",IFERROR(VLOOKUP($D384,'Base produits'!$B$5:$F$91,5,FALSE),""))</f>
        <v/>
      </c>
      <c r="F384" s="23" t="n"/>
      <c r="G384" s="21">
        <f>IF($D384="","",IFERROR(IF(VLOOKUP($D384,'Base produits'!$B$5:$J$91,9,FALSE)="","",VLOOKUP($D384,'Base produits'!$B$5:$J$91,9,FALSE)),""))</f>
        <v/>
      </c>
      <c r="H384" s="32" t="n"/>
      <c r="I384" s="21">
        <f>IF(OR($D384="",$F384="",$G384=""),"",$F384*$G384*(1-IFERROR($H384,0)))</f>
        <v/>
      </c>
      <c r="J384" s="21">
        <f>IF(OR($D384="",$F384="",$G384=""),"",($G384-IFERROR(VLOOKUP($D384,'Base produits'!$B$5:$H$91,7,FALSE),0))*$F384*(1-IFERROR($H384,0)))</f>
        <v/>
      </c>
      <c r="K384" s="23" t="n"/>
      <c r="L384" s="29" t="n"/>
    </row>
    <row r="385" ht="23" customHeight="1">
      <c r="A385" s="30" t="n"/>
      <c r="B385" s="23" t="n"/>
      <c r="C385" s="29" t="n"/>
      <c r="D385" s="23" t="n"/>
      <c r="E385" s="31">
        <f>IF($D385="","",IFERROR(VLOOKUP($D385,'Base produits'!$B$5:$F$91,5,FALSE),""))</f>
        <v/>
      </c>
      <c r="F385" s="23" t="n"/>
      <c r="G385" s="21">
        <f>IF($D385="","",IFERROR(IF(VLOOKUP($D385,'Base produits'!$B$5:$J$91,9,FALSE)="","",VLOOKUP($D385,'Base produits'!$B$5:$J$91,9,FALSE)),""))</f>
        <v/>
      </c>
      <c r="H385" s="32" t="n"/>
      <c r="I385" s="21">
        <f>IF(OR($D385="",$F385="",$G385=""),"",$F385*$G385*(1-IFERROR($H385,0)))</f>
        <v/>
      </c>
      <c r="J385" s="21">
        <f>IF(OR($D385="",$F385="",$G385=""),"",($G385-IFERROR(VLOOKUP($D385,'Base produits'!$B$5:$H$91,7,FALSE),0))*$F385*(1-IFERROR($H385,0)))</f>
        <v/>
      </c>
      <c r="K385" s="23" t="n"/>
      <c r="L385" s="29" t="n"/>
    </row>
    <row r="386" ht="23" customHeight="1">
      <c r="A386" s="30" t="n"/>
      <c r="B386" s="23" t="n"/>
      <c r="C386" s="29" t="n"/>
      <c r="D386" s="23" t="n"/>
      <c r="E386" s="31">
        <f>IF($D386="","",IFERROR(VLOOKUP($D386,'Base produits'!$B$5:$F$91,5,FALSE),""))</f>
        <v/>
      </c>
      <c r="F386" s="23" t="n"/>
      <c r="G386" s="21">
        <f>IF($D386="","",IFERROR(IF(VLOOKUP($D386,'Base produits'!$B$5:$J$91,9,FALSE)="","",VLOOKUP($D386,'Base produits'!$B$5:$J$91,9,FALSE)),""))</f>
        <v/>
      </c>
      <c r="H386" s="32" t="n"/>
      <c r="I386" s="21">
        <f>IF(OR($D386="",$F386="",$G386=""),"",$F386*$G386*(1-IFERROR($H386,0)))</f>
        <v/>
      </c>
      <c r="J386" s="21">
        <f>IF(OR($D386="",$F386="",$G386=""),"",($G386-IFERROR(VLOOKUP($D386,'Base produits'!$B$5:$H$91,7,FALSE),0))*$F386*(1-IFERROR($H386,0)))</f>
        <v/>
      </c>
      <c r="K386" s="23" t="n"/>
      <c r="L386" s="29" t="n"/>
    </row>
    <row r="387" ht="23" customHeight="1">
      <c r="A387" s="30" t="n"/>
      <c r="B387" s="23" t="n"/>
      <c r="C387" s="29" t="n"/>
      <c r="D387" s="23" t="n"/>
      <c r="E387" s="31">
        <f>IF($D387="","",IFERROR(VLOOKUP($D387,'Base produits'!$B$5:$F$91,5,FALSE),""))</f>
        <v/>
      </c>
      <c r="F387" s="23" t="n"/>
      <c r="G387" s="21">
        <f>IF($D387="","",IFERROR(IF(VLOOKUP($D387,'Base produits'!$B$5:$J$91,9,FALSE)="","",VLOOKUP($D387,'Base produits'!$B$5:$J$91,9,FALSE)),""))</f>
        <v/>
      </c>
      <c r="H387" s="32" t="n"/>
      <c r="I387" s="21">
        <f>IF(OR($D387="",$F387="",$G387=""),"",$F387*$G387*(1-IFERROR($H387,0)))</f>
        <v/>
      </c>
      <c r="J387" s="21">
        <f>IF(OR($D387="",$F387="",$G387=""),"",($G387-IFERROR(VLOOKUP($D387,'Base produits'!$B$5:$H$91,7,FALSE),0))*$F387*(1-IFERROR($H387,0)))</f>
        <v/>
      </c>
      <c r="K387" s="23" t="n"/>
      <c r="L387" s="29" t="n"/>
    </row>
    <row r="388" ht="23" customHeight="1">
      <c r="A388" s="30" t="n"/>
      <c r="B388" s="23" t="n"/>
      <c r="C388" s="29" t="n"/>
      <c r="D388" s="23" t="n"/>
      <c r="E388" s="31">
        <f>IF($D388="","",IFERROR(VLOOKUP($D388,'Base produits'!$B$5:$F$91,5,FALSE),""))</f>
        <v/>
      </c>
      <c r="F388" s="23" t="n"/>
      <c r="G388" s="21">
        <f>IF($D388="","",IFERROR(IF(VLOOKUP($D388,'Base produits'!$B$5:$J$91,9,FALSE)="","",VLOOKUP($D388,'Base produits'!$B$5:$J$91,9,FALSE)),""))</f>
        <v/>
      </c>
      <c r="H388" s="32" t="n"/>
      <c r="I388" s="21">
        <f>IF(OR($D388="",$F388="",$G388=""),"",$F388*$G388*(1-IFERROR($H388,0)))</f>
        <v/>
      </c>
      <c r="J388" s="21">
        <f>IF(OR($D388="",$F388="",$G388=""),"",($G388-IFERROR(VLOOKUP($D388,'Base produits'!$B$5:$H$91,7,FALSE),0))*$F388*(1-IFERROR($H388,0)))</f>
        <v/>
      </c>
      <c r="K388" s="23" t="n"/>
      <c r="L388" s="29" t="n"/>
    </row>
    <row r="389" ht="23" customHeight="1">
      <c r="A389" s="30" t="n"/>
      <c r="B389" s="23" t="n"/>
      <c r="C389" s="29" t="n"/>
      <c r="D389" s="23" t="n"/>
      <c r="E389" s="31">
        <f>IF($D389="","",IFERROR(VLOOKUP($D389,'Base produits'!$B$5:$F$91,5,FALSE),""))</f>
        <v/>
      </c>
      <c r="F389" s="23" t="n"/>
      <c r="G389" s="21">
        <f>IF($D389="","",IFERROR(IF(VLOOKUP($D389,'Base produits'!$B$5:$J$91,9,FALSE)="","",VLOOKUP($D389,'Base produits'!$B$5:$J$91,9,FALSE)),""))</f>
        <v/>
      </c>
      <c r="H389" s="32" t="n"/>
      <c r="I389" s="21">
        <f>IF(OR($D389="",$F389="",$G389=""),"",$F389*$G389*(1-IFERROR($H389,0)))</f>
        <v/>
      </c>
      <c r="J389" s="21">
        <f>IF(OR($D389="",$F389="",$G389=""),"",($G389-IFERROR(VLOOKUP($D389,'Base produits'!$B$5:$H$91,7,FALSE),0))*$F389*(1-IFERROR($H389,0)))</f>
        <v/>
      </c>
      <c r="K389" s="23" t="n"/>
      <c r="L389" s="29" t="n"/>
    </row>
    <row r="390" ht="23" customHeight="1">
      <c r="A390" s="30" t="n"/>
      <c r="B390" s="23" t="n"/>
      <c r="C390" s="29" t="n"/>
      <c r="D390" s="23" t="n"/>
      <c r="E390" s="31">
        <f>IF($D390="","",IFERROR(VLOOKUP($D390,'Base produits'!$B$5:$F$91,5,FALSE),""))</f>
        <v/>
      </c>
      <c r="F390" s="23" t="n"/>
      <c r="G390" s="21">
        <f>IF($D390="","",IFERROR(IF(VLOOKUP($D390,'Base produits'!$B$5:$J$91,9,FALSE)="","",VLOOKUP($D390,'Base produits'!$B$5:$J$91,9,FALSE)),""))</f>
        <v/>
      </c>
      <c r="H390" s="32" t="n"/>
      <c r="I390" s="21">
        <f>IF(OR($D390="",$F390="",$G390=""),"",$F390*$G390*(1-IFERROR($H390,0)))</f>
        <v/>
      </c>
      <c r="J390" s="21">
        <f>IF(OR($D390="",$F390="",$G390=""),"",($G390-IFERROR(VLOOKUP($D390,'Base produits'!$B$5:$H$91,7,FALSE),0))*$F390*(1-IFERROR($H390,0)))</f>
        <v/>
      </c>
      <c r="K390" s="23" t="n"/>
      <c r="L390" s="29" t="n"/>
    </row>
    <row r="391" ht="23" customHeight="1">
      <c r="A391" s="30" t="n"/>
      <c r="B391" s="23" t="n"/>
      <c r="C391" s="29" t="n"/>
      <c r="D391" s="23" t="n"/>
      <c r="E391" s="31">
        <f>IF($D391="","",IFERROR(VLOOKUP($D391,'Base produits'!$B$5:$F$91,5,FALSE),""))</f>
        <v/>
      </c>
      <c r="F391" s="23" t="n"/>
      <c r="G391" s="21">
        <f>IF($D391="","",IFERROR(IF(VLOOKUP($D391,'Base produits'!$B$5:$J$91,9,FALSE)="","",VLOOKUP($D391,'Base produits'!$B$5:$J$91,9,FALSE)),""))</f>
        <v/>
      </c>
      <c r="H391" s="32" t="n"/>
      <c r="I391" s="21">
        <f>IF(OR($D391="",$F391="",$G391=""),"",$F391*$G391*(1-IFERROR($H391,0)))</f>
        <v/>
      </c>
      <c r="J391" s="21">
        <f>IF(OR($D391="",$F391="",$G391=""),"",($G391-IFERROR(VLOOKUP($D391,'Base produits'!$B$5:$H$91,7,FALSE),0))*$F391*(1-IFERROR($H391,0)))</f>
        <v/>
      </c>
      <c r="K391" s="23" t="n"/>
      <c r="L391" s="29" t="n"/>
    </row>
    <row r="392" ht="23" customHeight="1">
      <c r="A392" s="30" t="n"/>
      <c r="B392" s="23" t="n"/>
      <c r="C392" s="29" t="n"/>
      <c r="D392" s="23" t="n"/>
      <c r="E392" s="31">
        <f>IF($D392="","",IFERROR(VLOOKUP($D392,'Base produits'!$B$5:$F$91,5,FALSE),""))</f>
        <v/>
      </c>
      <c r="F392" s="23" t="n"/>
      <c r="G392" s="21">
        <f>IF($D392="","",IFERROR(IF(VLOOKUP($D392,'Base produits'!$B$5:$J$91,9,FALSE)="","",VLOOKUP($D392,'Base produits'!$B$5:$J$91,9,FALSE)),""))</f>
        <v/>
      </c>
      <c r="H392" s="32" t="n"/>
      <c r="I392" s="21">
        <f>IF(OR($D392="",$F392="",$G392=""),"",$F392*$G392*(1-IFERROR($H392,0)))</f>
        <v/>
      </c>
      <c r="J392" s="21">
        <f>IF(OR($D392="",$F392="",$G392=""),"",($G392-IFERROR(VLOOKUP($D392,'Base produits'!$B$5:$H$91,7,FALSE),0))*$F392*(1-IFERROR($H392,0)))</f>
        <v/>
      </c>
      <c r="K392" s="23" t="n"/>
      <c r="L392" s="29" t="n"/>
    </row>
    <row r="393" ht="23" customHeight="1">
      <c r="A393" s="30" t="n"/>
      <c r="B393" s="23" t="n"/>
      <c r="C393" s="29" t="n"/>
      <c r="D393" s="23" t="n"/>
      <c r="E393" s="31">
        <f>IF($D393="","",IFERROR(VLOOKUP($D393,'Base produits'!$B$5:$F$91,5,FALSE),""))</f>
        <v/>
      </c>
      <c r="F393" s="23" t="n"/>
      <c r="G393" s="21">
        <f>IF($D393="","",IFERROR(IF(VLOOKUP($D393,'Base produits'!$B$5:$J$91,9,FALSE)="","",VLOOKUP($D393,'Base produits'!$B$5:$J$91,9,FALSE)),""))</f>
        <v/>
      </c>
      <c r="H393" s="32" t="n"/>
      <c r="I393" s="21">
        <f>IF(OR($D393="",$F393="",$G393=""),"",$F393*$G393*(1-IFERROR($H393,0)))</f>
        <v/>
      </c>
      <c r="J393" s="21">
        <f>IF(OR($D393="",$F393="",$G393=""),"",($G393-IFERROR(VLOOKUP($D393,'Base produits'!$B$5:$H$91,7,FALSE),0))*$F393*(1-IFERROR($H393,0)))</f>
        <v/>
      </c>
      <c r="K393" s="23" t="n"/>
      <c r="L393" s="29" t="n"/>
    </row>
    <row r="394" ht="23" customHeight="1">
      <c r="A394" s="30" t="n"/>
      <c r="B394" s="23" t="n"/>
      <c r="C394" s="29" t="n"/>
      <c r="D394" s="23" t="n"/>
      <c r="E394" s="31">
        <f>IF($D394="","",IFERROR(VLOOKUP($D394,'Base produits'!$B$5:$F$91,5,FALSE),""))</f>
        <v/>
      </c>
      <c r="F394" s="23" t="n"/>
      <c r="G394" s="21">
        <f>IF($D394="","",IFERROR(IF(VLOOKUP($D394,'Base produits'!$B$5:$J$91,9,FALSE)="","",VLOOKUP($D394,'Base produits'!$B$5:$J$91,9,FALSE)),""))</f>
        <v/>
      </c>
      <c r="H394" s="32" t="n"/>
      <c r="I394" s="21">
        <f>IF(OR($D394="",$F394="",$G394=""),"",$F394*$G394*(1-IFERROR($H394,0)))</f>
        <v/>
      </c>
      <c r="J394" s="21">
        <f>IF(OR($D394="",$F394="",$G394=""),"",($G394-IFERROR(VLOOKUP($D394,'Base produits'!$B$5:$H$91,7,FALSE),0))*$F394*(1-IFERROR($H394,0)))</f>
        <v/>
      </c>
      <c r="K394" s="23" t="n"/>
      <c r="L394" s="29" t="n"/>
    </row>
    <row r="395" ht="23" customHeight="1">
      <c r="A395" s="30" t="n"/>
      <c r="B395" s="23" t="n"/>
      <c r="C395" s="29" t="n"/>
      <c r="D395" s="23" t="n"/>
      <c r="E395" s="31">
        <f>IF($D395="","",IFERROR(VLOOKUP($D395,'Base produits'!$B$5:$F$91,5,FALSE),""))</f>
        <v/>
      </c>
      <c r="F395" s="23" t="n"/>
      <c r="G395" s="21">
        <f>IF($D395="","",IFERROR(IF(VLOOKUP($D395,'Base produits'!$B$5:$J$91,9,FALSE)="","",VLOOKUP($D395,'Base produits'!$B$5:$J$91,9,FALSE)),""))</f>
        <v/>
      </c>
      <c r="H395" s="32" t="n"/>
      <c r="I395" s="21">
        <f>IF(OR($D395="",$F395="",$G395=""),"",$F395*$G395*(1-IFERROR($H395,0)))</f>
        <v/>
      </c>
      <c r="J395" s="21">
        <f>IF(OR($D395="",$F395="",$G395=""),"",($G395-IFERROR(VLOOKUP($D395,'Base produits'!$B$5:$H$91,7,FALSE),0))*$F395*(1-IFERROR($H395,0)))</f>
        <v/>
      </c>
      <c r="K395" s="23" t="n"/>
      <c r="L395" s="29" t="n"/>
    </row>
    <row r="396" ht="23" customHeight="1">
      <c r="A396" s="30" t="n"/>
      <c r="B396" s="23" t="n"/>
      <c r="C396" s="29" t="n"/>
      <c r="D396" s="23" t="n"/>
      <c r="E396" s="31">
        <f>IF($D396="","",IFERROR(VLOOKUP($D396,'Base produits'!$B$5:$F$91,5,FALSE),""))</f>
        <v/>
      </c>
      <c r="F396" s="23" t="n"/>
      <c r="G396" s="21">
        <f>IF($D396="","",IFERROR(IF(VLOOKUP($D396,'Base produits'!$B$5:$J$91,9,FALSE)="","",VLOOKUP($D396,'Base produits'!$B$5:$J$91,9,FALSE)),""))</f>
        <v/>
      </c>
      <c r="H396" s="32" t="n"/>
      <c r="I396" s="21">
        <f>IF(OR($D396="",$F396="",$G396=""),"",$F396*$G396*(1-IFERROR($H396,0)))</f>
        <v/>
      </c>
      <c r="J396" s="21">
        <f>IF(OR($D396="",$F396="",$G396=""),"",($G396-IFERROR(VLOOKUP($D396,'Base produits'!$B$5:$H$91,7,FALSE),0))*$F396*(1-IFERROR($H396,0)))</f>
        <v/>
      </c>
      <c r="K396" s="23" t="n"/>
      <c r="L396" s="29" t="n"/>
    </row>
    <row r="397" ht="23" customHeight="1">
      <c r="A397" s="30" t="n"/>
      <c r="B397" s="23" t="n"/>
      <c r="C397" s="29" t="n"/>
      <c r="D397" s="23" t="n"/>
      <c r="E397" s="31">
        <f>IF($D397="","",IFERROR(VLOOKUP($D397,'Base produits'!$B$5:$F$91,5,FALSE),""))</f>
        <v/>
      </c>
      <c r="F397" s="23" t="n"/>
      <c r="G397" s="21">
        <f>IF($D397="","",IFERROR(IF(VLOOKUP($D397,'Base produits'!$B$5:$J$91,9,FALSE)="","",VLOOKUP($D397,'Base produits'!$B$5:$J$91,9,FALSE)),""))</f>
        <v/>
      </c>
      <c r="H397" s="32" t="n"/>
      <c r="I397" s="21">
        <f>IF(OR($D397="",$F397="",$G397=""),"",$F397*$G397*(1-IFERROR($H397,0)))</f>
        <v/>
      </c>
      <c r="J397" s="21">
        <f>IF(OR($D397="",$F397="",$G397=""),"",($G397-IFERROR(VLOOKUP($D397,'Base produits'!$B$5:$H$91,7,FALSE),0))*$F397*(1-IFERROR($H397,0)))</f>
        <v/>
      </c>
      <c r="K397" s="23" t="n"/>
      <c r="L397" s="29" t="n"/>
    </row>
    <row r="398" ht="23" customHeight="1">
      <c r="A398" s="30" t="n"/>
      <c r="B398" s="23" t="n"/>
      <c r="C398" s="29" t="n"/>
      <c r="D398" s="23" t="n"/>
      <c r="E398" s="31">
        <f>IF($D398="","",IFERROR(VLOOKUP($D398,'Base produits'!$B$5:$F$91,5,FALSE),""))</f>
        <v/>
      </c>
      <c r="F398" s="23" t="n"/>
      <c r="G398" s="21">
        <f>IF($D398="","",IFERROR(IF(VLOOKUP($D398,'Base produits'!$B$5:$J$91,9,FALSE)="","",VLOOKUP($D398,'Base produits'!$B$5:$J$91,9,FALSE)),""))</f>
        <v/>
      </c>
      <c r="H398" s="32" t="n"/>
      <c r="I398" s="21">
        <f>IF(OR($D398="",$F398="",$G398=""),"",$F398*$G398*(1-IFERROR($H398,0)))</f>
        <v/>
      </c>
      <c r="J398" s="21">
        <f>IF(OR($D398="",$F398="",$G398=""),"",($G398-IFERROR(VLOOKUP($D398,'Base produits'!$B$5:$H$91,7,FALSE),0))*$F398*(1-IFERROR($H398,0)))</f>
        <v/>
      </c>
      <c r="K398" s="23" t="n"/>
      <c r="L398" s="29" t="n"/>
    </row>
    <row r="399" ht="23" customHeight="1">
      <c r="A399" s="30" t="n"/>
      <c r="B399" s="23" t="n"/>
      <c r="C399" s="29" t="n"/>
      <c r="D399" s="23" t="n"/>
      <c r="E399" s="31">
        <f>IF($D399="","",IFERROR(VLOOKUP($D399,'Base produits'!$B$5:$F$91,5,FALSE),""))</f>
        <v/>
      </c>
      <c r="F399" s="23" t="n"/>
      <c r="G399" s="21">
        <f>IF($D399="","",IFERROR(IF(VLOOKUP($D399,'Base produits'!$B$5:$J$91,9,FALSE)="","",VLOOKUP($D399,'Base produits'!$B$5:$J$91,9,FALSE)),""))</f>
        <v/>
      </c>
      <c r="H399" s="32" t="n"/>
      <c r="I399" s="21">
        <f>IF(OR($D399="",$F399="",$G399=""),"",$F399*$G399*(1-IFERROR($H399,0)))</f>
        <v/>
      </c>
      <c r="J399" s="21">
        <f>IF(OR($D399="",$F399="",$G399=""),"",($G399-IFERROR(VLOOKUP($D399,'Base produits'!$B$5:$H$91,7,FALSE),0))*$F399*(1-IFERROR($H399,0)))</f>
        <v/>
      </c>
      <c r="K399" s="23" t="n"/>
      <c r="L399" s="29" t="n"/>
    </row>
    <row r="400" ht="23" customHeight="1">
      <c r="A400" s="30" t="n"/>
      <c r="B400" s="23" t="n"/>
      <c r="C400" s="29" t="n"/>
      <c r="D400" s="23" t="n"/>
      <c r="E400" s="31">
        <f>IF($D400="","",IFERROR(VLOOKUP($D400,'Base produits'!$B$5:$F$91,5,FALSE),""))</f>
        <v/>
      </c>
      <c r="F400" s="23" t="n"/>
      <c r="G400" s="21">
        <f>IF($D400="","",IFERROR(IF(VLOOKUP($D400,'Base produits'!$B$5:$J$91,9,FALSE)="","",VLOOKUP($D400,'Base produits'!$B$5:$J$91,9,FALSE)),""))</f>
        <v/>
      </c>
      <c r="H400" s="32" t="n"/>
      <c r="I400" s="21">
        <f>IF(OR($D400="",$F400="",$G400=""),"",$F400*$G400*(1-IFERROR($H400,0)))</f>
        <v/>
      </c>
      <c r="J400" s="21">
        <f>IF(OR($D400="",$F400="",$G400=""),"",($G400-IFERROR(VLOOKUP($D400,'Base produits'!$B$5:$H$91,7,FALSE),0))*$F400*(1-IFERROR($H400,0)))</f>
        <v/>
      </c>
      <c r="K400" s="23" t="n"/>
      <c r="L400" s="29" t="n"/>
    </row>
    <row r="401" ht="23" customHeight="1">
      <c r="A401" s="30" t="n"/>
      <c r="B401" s="23" t="n"/>
      <c r="C401" s="29" t="n"/>
      <c r="D401" s="23" t="n"/>
      <c r="E401" s="31">
        <f>IF($D401="","",IFERROR(VLOOKUP($D401,'Base produits'!$B$5:$F$91,5,FALSE),""))</f>
        <v/>
      </c>
      <c r="F401" s="23" t="n"/>
      <c r="G401" s="21">
        <f>IF($D401="","",IFERROR(IF(VLOOKUP($D401,'Base produits'!$B$5:$J$91,9,FALSE)="","",VLOOKUP($D401,'Base produits'!$B$5:$J$91,9,FALSE)),""))</f>
        <v/>
      </c>
      <c r="H401" s="32" t="n"/>
      <c r="I401" s="21">
        <f>IF(OR($D401="",$F401="",$G401=""),"",$F401*$G401*(1-IFERROR($H401,0)))</f>
        <v/>
      </c>
      <c r="J401" s="21">
        <f>IF(OR($D401="",$F401="",$G401=""),"",($G401-IFERROR(VLOOKUP($D401,'Base produits'!$B$5:$H$91,7,FALSE),0))*$F401*(1-IFERROR($H401,0)))</f>
        <v/>
      </c>
      <c r="K401" s="23" t="n"/>
      <c r="L401" s="29" t="n"/>
    </row>
    <row r="402" ht="23" customHeight="1">
      <c r="A402" s="30" t="n"/>
      <c r="B402" s="23" t="n"/>
      <c r="C402" s="29" t="n"/>
      <c r="D402" s="23" t="n"/>
      <c r="E402" s="31">
        <f>IF($D402="","",IFERROR(VLOOKUP($D402,'Base produits'!$B$5:$F$91,5,FALSE),""))</f>
        <v/>
      </c>
      <c r="F402" s="23" t="n"/>
      <c r="G402" s="21">
        <f>IF($D402="","",IFERROR(IF(VLOOKUP($D402,'Base produits'!$B$5:$J$91,9,FALSE)="","",VLOOKUP($D402,'Base produits'!$B$5:$J$91,9,FALSE)),""))</f>
        <v/>
      </c>
      <c r="H402" s="32" t="n"/>
      <c r="I402" s="21">
        <f>IF(OR($D402="",$F402="",$G402=""),"",$F402*$G402*(1-IFERROR($H402,0)))</f>
        <v/>
      </c>
      <c r="J402" s="21">
        <f>IF(OR($D402="",$F402="",$G402=""),"",($G402-IFERROR(VLOOKUP($D402,'Base produits'!$B$5:$H$91,7,FALSE),0))*$F402*(1-IFERROR($H402,0)))</f>
        <v/>
      </c>
      <c r="K402" s="23" t="n"/>
      <c r="L402" s="29" t="n"/>
    </row>
    <row r="403" ht="23" customHeight="1">
      <c r="A403" s="30" t="n"/>
      <c r="B403" s="23" t="n"/>
      <c r="C403" s="29" t="n"/>
      <c r="D403" s="23" t="n"/>
      <c r="E403" s="31">
        <f>IF($D403="","",IFERROR(VLOOKUP($D403,'Base produits'!$B$5:$F$91,5,FALSE),""))</f>
        <v/>
      </c>
      <c r="F403" s="23" t="n"/>
      <c r="G403" s="21">
        <f>IF($D403="","",IFERROR(IF(VLOOKUP($D403,'Base produits'!$B$5:$J$91,9,FALSE)="","",VLOOKUP($D403,'Base produits'!$B$5:$J$91,9,FALSE)),""))</f>
        <v/>
      </c>
      <c r="H403" s="32" t="n"/>
      <c r="I403" s="21">
        <f>IF(OR($D403="",$F403="",$G403=""),"",$F403*$G403*(1-IFERROR($H403,0)))</f>
        <v/>
      </c>
      <c r="J403" s="21">
        <f>IF(OR($D403="",$F403="",$G403=""),"",($G403-IFERROR(VLOOKUP($D403,'Base produits'!$B$5:$H$91,7,FALSE),0))*$F403*(1-IFERROR($H403,0)))</f>
        <v/>
      </c>
      <c r="K403" s="23" t="n"/>
      <c r="L403" s="29" t="n"/>
    </row>
    <row r="404" ht="23" customHeight="1">
      <c r="A404" s="30" t="n"/>
      <c r="B404" s="23" t="n"/>
      <c r="C404" s="29" t="n"/>
      <c r="D404" s="23" t="n"/>
      <c r="E404" s="31">
        <f>IF($D404="","",IFERROR(VLOOKUP($D404,'Base produits'!$B$5:$F$91,5,FALSE),""))</f>
        <v/>
      </c>
      <c r="F404" s="23" t="n"/>
      <c r="G404" s="21">
        <f>IF($D404="","",IFERROR(IF(VLOOKUP($D404,'Base produits'!$B$5:$J$91,9,FALSE)="","",VLOOKUP($D404,'Base produits'!$B$5:$J$91,9,FALSE)),""))</f>
        <v/>
      </c>
      <c r="H404" s="32" t="n"/>
      <c r="I404" s="21">
        <f>IF(OR($D404="",$F404="",$G404=""),"",$F404*$G404*(1-IFERROR($H404,0)))</f>
        <v/>
      </c>
      <c r="J404" s="21">
        <f>IF(OR($D404="",$F404="",$G404=""),"",($G404-IFERROR(VLOOKUP($D404,'Base produits'!$B$5:$H$91,7,FALSE),0))*$F404*(1-IFERROR($H404,0)))</f>
        <v/>
      </c>
      <c r="K404" s="23" t="n"/>
      <c r="L404" s="29" t="n"/>
    </row>
    <row r="405" ht="23" customHeight="1">
      <c r="A405" s="30" t="n"/>
      <c r="B405" s="23" t="n"/>
      <c r="C405" s="29" t="n"/>
      <c r="D405" s="23" t="n"/>
      <c r="E405" s="31">
        <f>IF($D405="","",IFERROR(VLOOKUP($D405,'Base produits'!$B$5:$F$91,5,FALSE),""))</f>
        <v/>
      </c>
      <c r="F405" s="23" t="n"/>
      <c r="G405" s="21">
        <f>IF($D405="","",IFERROR(IF(VLOOKUP($D405,'Base produits'!$B$5:$J$91,9,FALSE)="","",VLOOKUP($D405,'Base produits'!$B$5:$J$91,9,FALSE)),""))</f>
        <v/>
      </c>
      <c r="H405" s="32" t="n"/>
      <c r="I405" s="21">
        <f>IF(OR($D405="",$F405="",$G405=""),"",$F405*$G405*(1-IFERROR($H405,0)))</f>
        <v/>
      </c>
      <c r="J405" s="21">
        <f>IF(OR($D405="",$F405="",$G405=""),"",($G405-IFERROR(VLOOKUP($D405,'Base produits'!$B$5:$H$91,7,FALSE),0))*$F405*(1-IFERROR($H405,0)))</f>
        <v/>
      </c>
      <c r="K405" s="23" t="n"/>
      <c r="L405" s="29" t="n"/>
    </row>
    <row r="406" ht="23" customHeight="1">
      <c r="A406" s="30" t="n"/>
      <c r="B406" s="23" t="n"/>
      <c r="C406" s="29" t="n"/>
      <c r="D406" s="23" t="n"/>
      <c r="E406" s="31">
        <f>IF($D406="","",IFERROR(VLOOKUP($D406,'Base produits'!$B$5:$F$91,5,FALSE),""))</f>
        <v/>
      </c>
      <c r="F406" s="23" t="n"/>
      <c r="G406" s="21">
        <f>IF($D406="","",IFERROR(IF(VLOOKUP($D406,'Base produits'!$B$5:$J$91,9,FALSE)="","",VLOOKUP($D406,'Base produits'!$B$5:$J$91,9,FALSE)),""))</f>
        <v/>
      </c>
      <c r="H406" s="32" t="n"/>
      <c r="I406" s="21">
        <f>IF(OR($D406="",$F406="",$G406=""),"",$F406*$G406*(1-IFERROR($H406,0)))</f>
        <v/>
      </c>
      <c r="J406" s="21">
        <f>IF(OR($D406="",$F406="",$G406=""),"",($G406-IFERROR(VLOOKUP($D406,'Base produits'!$B$5:$H$91,7,FALSE),0))*$F406*(1-IFERROR($H406,0)))</f>
        <v/>
      </c>
      <c r="K406" s="23" t="n"/>
      <c r="L406" s="29" t="n"/>
    </row>
    <row r="407" ht="23" customHeight="1">
      <c r="A407" s="30" t="n"/>
      <c r="B407" s="23" t="n"/>
      <c r="C407" s="29" t="n"/>
      <c r="D407" s="23" t="n"/>
      <c r="E407" s="31">
        <f>IF($D407="","",IFERROR(VLOOKUP($D407,'Base produits'!$B$5:$F$91,5,FALSE),""))</f>
        <v/>
      </c>
      <c r="F407" s="23" t="n"/>
      <c r="G407" s="21">
        <f>IF($D407="","",IFERROR(IF(VLOOKUP($D407,'Base produits'!$B$5:$J$91,9,FALSE)="","",VLOOKUP($D407,'Base produits'!$B$5:$J$91,9,FALSE)),""))</f>
        <v/>
      </c>
      <c r="H407" s="32" t="n"/>
      <c r="I407" s="21">
        <f>IF(OR($D407="",$F407="",$G407=""),"",$F407*$G407*(1-IFERROR($H407,0)))</f>
        <v/>
      </c>
      <c r="J407" s="21">
        <f>IF(OR($D407="",$F407="",$G407=""),"",($G407-IFERROR(VLOOKUP($D407,'Base produits'!$B$5:$H$91,7,FALSE),0))*$F407*(1-IFERROR($H407,0)))</f>
        <v/>
      </c>
      <c r="K407" s="23" t="n"/>
      <c r="L407" s="29" t="n"/>
    </row>
    <row r="408" ht="23" customHeight="1">
      <c r="A408" s="30" t="n"/>
      <c r="B408" s="23" t="n"/>
      <c r="C408" s="29" t="n"/>
      <c r="D408" s="23" t="n"/>
      <c r="E408" s="31">
        <f>IF($D408="","",IFERROR(VLOOKUP($D408,'Base produits'!$B$5:$F$91,5,FALSE),""))</f>
        <v/>
      </c>
      <c r="F408" s="23" t="n"/>
      <c r="G408" s="21">
        <f>IF($D408="","",IFERROR(IF(VLOOKUP($D408,'Base produits'!$B$5:$J$91,9,FALSE)="","",VLOOKUP($D408,'Base produits'!$B$5:$J$91,9,FALSE)),""))</f>
        <v/>
      </c>
      <c r="H408" s="32" t="n"/>
      <c r="I408" s="21">
        <f>IF(OR($D408="",$F408="",$G408=""),"",$F408*$G408*(1-IFERROR($H408,0)))</f>
        <v/>
      </c>
      <c r="J408" s="21">
        <f>IF(OR($D408="",$F408="",$G408=""),"",($G408-IFERROR(VLOOKUP($D408,'Base produits'!$B$5:$H$91,7,FALSE),0))*$F408*(1-IFERROR($H408,0)))</f>
        <v/>
      </c>
      <c r="K408" s="23" t="n"/>
      <c r="L408" s="29" t="n"/>
    </row>
    <row r="409" ht="23" customHeight="1">
      <c r="A409" s="30" t="n"/>
      <c r="B409" s="23" t="n"/>
      <c r="C409" s="29" t="n"/>
      <c r="D409" s="23" t="n"/>
      <c r="E409" s="31">
        <f>IF($D409="","",IFERROR(VLOOKUP($D409,'Base produits'!$B$5:$F$91,5,FALSE),""))</f>
        <v/>
      </c>
      <c r="F409" s="23" t="n"/>
      <c r="G409" s="21">
        <f>IF($D409="","",IFERROR(IF(VLOOKUP($D409,'Base produits'!$B$5:$J$91,9,FALSE)="","",VLOOKUP($D409,'Base produits'!$B$5:$J$91,9,FALSE)),""))</f>
        <v/>
      </c>
      <c r="H409" s="32" t="n"/>
      <c r="I409" s="21">
        <f>IF(OR($D409="",$F409="",$G409=""),"",$F409*$G409*(1-IFERROR($H409,0)))</f>
        <v/>
      </c>
      <c r="J409" s="21">
        <f>IF(OR($D409="",$F409="",$G409=""),"",($G409-IFERROR(VLOOKUP($D409,'Base produits'!$B$5:$H$91,7,FALSE),0))*$F409*(1-IFERROR($H409,0)))</f>
        <v/>
      </c>
      <c r="K409" s="23" t="n"/>
      <c r="L409" s="29" t="n"/>
    </row>
    <row r="410" ht="23" customHeight="1">
      <c r="A410" s="30" t="n"/>
      <c r="B410" s="23" t="n"/>
      <c r="C410" s="29" t="n"/>
      <c r="D410" s="23" t="n"/>
      <c r="E410" s="31">
        <f>IF($D410="","",IFERROR(VLOOKUP($D410,'Base produits'!$B$5:$F$91,5,FALSE),""))</f>
        <v/>
      </c>
      <c r="F410" s="23" t="n"/>
      <c r="G410" s="21">
        <f>IF($D410="","",IFERROR(IF(VLOOKUP($D410,'Base produits'!$B$5:$J$91,9,FALSE)="","",VLOOKUP($D410,'Base produits'!$B$5:$J$91,9,FALSE)),""))</f>
        <v/>
      </c>
      <c r="H410" s="32" t="n"/>
      <c r="I410" s="21">
        <f>IF(OR($D410="",$F410="",$G410=""),"",$F410*$G410*(1-IFERROR($H410,0)))</f>
        <v/>
      </c>
      <c r="J410" s="21">
        <f>IF(OR($D410="",$F410="",$G410=""),"",($G410-IFERROR(VLOOKUP($D410,'Base produits'!$B$5:$H$91,7,FALSE),0))*$F410*(1-IFERROR($H410,0)))</f>
        <v/>
      </c>
      <c r="K410" s="23" t="n"/>
      <c r="L410" s="29" t="n"/>
    </row>
    <row r="411" ht="23" customHeight="1">
      <c r="A411" s="30" t="n"/>
      <c r="B411" s="23" t="n"/>
      <c r="C411" s="29" t="n"/>
      <c r="D411" s="23" t="n"/>
      <c r="E411" s="31">
        <f>IF($D411="","",IFERROR(VLOOKUP($D411,'Base produits'!$B$5:$F$91,5,FALSE),""))</f>
        <v/>
      </c>
      <c r="F411" s="23" t="n"/>
      <c r="G411" s="21">
        <f>IF($D411="","",IFERROR(IF(VLOOKUP($D411,'Base produits'!$B$5:$J$91,9,FALSE)="","",VLOOKUP($D411,'Base produits'!$B$5:$J$91,9,FALSE)),""))</f>
        <v/>
      </c>
      <c r="H411" s="32" t="n"/>
      <c r="I411" s="21">
        <f>IF(OR($D411="",$F411="",$G411=""),"",$F411*$G411*(1-IFERROR($H411,0)))</f>
        <v/>
      </c>
      <c r="J411" s="21">
        <f>IF(OR($D411="",$F411="",$G411=""),"",($G411-IFERROR(VLOOKUP($D411,'Base produits'!$B$5:$H$91,7,FALSE),0))*$F411*(1-IFERROR($H411,0)))</f>
        <v/>
      </c>
      <c r="K411" s="23" t="n"/>
      <c r="L411" s="29" t="n"/>
    </row>
    <row r="412" ht="23" customHeight="1">
      <c r="A412" s="30" t="n"/>
      <c r="B412" s="23" t="n"/>
      <c r="C412" s="29" t="n"/>
      <c r="D412" s="23" t="n"/>
      <c r="E412" s="31">
        <f>IF($D412="","",IFERROR(VLOOKUP($D412,'Base produits'!$B$5:$F$91,5,FALSE),""))</f>
        <v/>
      </c>
      <c r="F412" s="23" t="n"/>
      <c r="G412" s="21">
        <f>IF($D412="","",IFERROR(IF(VLOOKUP($D412,'Base produits'!$B$5:$J$91,9,FALSE)="","",VLOOKUP($D412,'Base produits'!$B$5:$J$91,9,FALSE)),""))</f>
        <v/>
      </c>
      <c r="H412" s="32" t="n"/>
      <c r="I412" s="21">
        <f>IF(OR($D412="",$F412="",$G412=""),"",$F412*$G412*(1-IFERROR($H412,0)))</f>
        <v/>
      </c>
      <c r="J412" s="21">
        <f>IF(OR($D412="",$F412="",$G412=""),"",($G412-IFERROR(VLOOKUP($D412,'Base produits'!$B$5:$H$91,7,FALSE),0))*$F412*(1-IFERROR($H412,0)))</f>
        <v/>
      </c>
      <c r="K412" s="23" t="n"/>
      <c r="L412" s="29" t="n"/>
    </row>
    <row r="413" ht="23" customHeight="1">
      <c r="A413" s="30" t="n"/>
      <c r="B413" s="23" t="n"/>
      <c r="C413" s="29" t="n"/>
      <c r="D413" s="23" t="n"/>
      <c r="E413" s="31">
        <f>IF($D413="","",IFERROR(VLOOKUP($D413,'Base produits'!$B$5:$F$91,5,FALSE),""))</f>
        <v/>
      </c>
      <c r="F413" s="23" t="n"/>
      <c r="G413" s="21">
        <f>IF($D413="","",IFERROR(IF(VLOOKUP($D413,'Base produits'!$B$5:$J$91,9,FALSE)="","",VLOOKUP($D413,'Base produits'!$B$5:$J$91,9,FALSE)),""))</f>
        <v/>
      </c>
      <c r="H413" s="32" t="n"/>
      <c r="I413" s="21">
        <f>IF(OR($D413="",$F413="",$G413=""),"",$F413*$G413*(1-IFERROR($H413,0)))</f>
        <v/>
      </c>
      <c r="J413" s="21">
        <f>IF(OR($D413="",$F413="",$G413=""),"",($G413-IFERROR(VLOOKUP($D413,'Base produits'!$B$5:$H$91,7,FALSE),0))*$F413*(1-IFERROR($H413,0)))</f>
        <v/>
      </c>
      <c r="K413" s="23" t="n"/>
      <c r="L413" s="29" t="n"/>
    </row>
    <row r="414" ht="23" customHeight="1">
      <c r="A414" s="30" t="n"/>
      <c r="B414" s="23" t="n"/>
      <c r="C414" s="29" t="n"/>
      <c r="D414" s="23" t="n"/>
      <c r="E414" s="31">
        <f>IF($D414="","",IFERROR(VLOOKUP($D414,'Base produits'!$B$5:$F$91,5,FALSE),""))</f>
        <v/>
      </c>
      <c r="F414" s="23" t="n"/>
      <c r="G414" s="21">
        <f>IF($D414="","",IFERROR(IF(VLOOKUP($D414,'Base produits'!$B$5:$J$91,9,FALSE)="","",VLOOKUP($D414,'Base produits'!$B$5:$J$91,9,FALSE)),""))</f>
        <v/>
      </c>
      <c r="H414" s="32" t="n"/>
      <c r="I414" s="21">
        <f>IF(OR($D414="",$F414="",$G414=""),"",$F414*$G414*(1-IFERROR($H414,0)))</f>
        <v/>
      </c>
      <c r="J414" s="21">
        <f>IF(OR($D414="",$F414="",$G414=""),"",($G414-IFERROR(VLOOKUP($D414,'Base produits'!$B$5:$H$91,7,FALSE),0))*$F414*(1-IFERROR($H414,0)))</f>
        <v/>
      </c>
      <c r="K414" s="23" t="n"/>
      <c r="L414" s="29" t="n"/>
    </row>
    <row r="415" ht="23" customHeight="1">
      <c r="A415" s="30" t="n"/>
      <c r="B415" s="23" t="n"/>
      <c r="C415" s="29" t="n"/>
      <c r="D415" s="23" t="n"/>
      <c r="E415" s="31">
        <f>IF($D415="","",IFERROR(VLOOKUP($D415,'Base produits'!$B$5:$F$91,5,FALSE),""))</f>
        <v/>
      </c>
      <c r="F415" s="23" t="n"/>
      <c r="G415" s="21">
        <f>IF($D415="","",IFERROR(IF(VLOOKUP($D415,'Base produits'!$B$5:$J$91,9,FALSE)="","",VLOOKUP($D415,'Base produits'!$B$5:$J$91,9,FALSE)),""))</f>
        <v/>
      </c>
      <c r="H415" s="32" t="n"/>
      <c r="I415" s="21">
        <f>IF(OR($D415="",$F415="",$G415=""),"",$F415*$G415*(1-IFERROR($H415,0)))</f>
        <v/>
      </c>
      <c r="J415" s="21">
        <f>IF(OR($D415="",$F415="",$G415=""),"",($G415-IFERROR(VLOOKUP($D415,'Base produits'!$B$5:$H$91,7,FALSE),0))*$F415*(1-IFERROR($H415,0)))</f>
        <v/>
      </c>
      <c r="K415" s="23" t="n"/>
      <c r="L415" s="29" t="n"/>
    </row>
    <row r="416" ht="23" customHeight="1">
      <c r="A416" s="30" t="n"/>
      <c r="B416" s="23" t="n"/>
      <c r="C416" s="29" t="n"/>
      <c r="D416" s="23" t="n"/>
      <c r="E416" s="31">
        <f>IF($D416="","",IFERROR(VLOOKUP($D416,'Base produits'!$B$5:$F$91,5,FALSE),""))</f>
        <v/>
      </c>
      <c r="F416" s="23" t="n"/>
      <c r="G416" s="21">
        <f>IF($D416="","",IFERROR(IF(VLOOKUP($D416,'Base produits'!$B$5:$J$91,9,FALSE)="","",VLOOKUP($D416,'Base produits'!$B$5:$J$91,9,FALSE)),""))</f>
        <v/>
      </c>
      <c r="H416" s="32" t="n"/>
      <c r="I416" s="21">
        <f>IF(OR($D416="",$F416="",$G416=""),"",$F416*$G416*(1-IFERROR($H416,0)))</f>
        <v/>
      </c>
      <c r="J416" s="21">
        <f>IF(OR($D416="",$F416="",$G416=""),"",($G416-IFERROR(VLOOKUP($D416,'Base produits'!$B$5:$H$91,7,FALSE),0))*$F416*(1-IFERROR($H416,0)))</f>
        <v/>
      </c>
      <c r="K416" s="23" t="n"/>
      <c r="L416" s="29" t="n"/>
    </row>
    <row r="417" ht="23" customHeight="1">
      <c r="A417" s="30" t="n"/>
      <c r="B417" s="23" t="n"/>
      <c r="C417" s="29" t="n"/>
      <c r="D417" s="23" t="n"/>
      <c r="E417" s="31">
        <f>IF($D417="","",IFERROR(VLOOKUP($D417,'Base produits'!$B$5:$F$91,5,FALSE),""))</f>
        <v/>
      </c>
      <c r="F417" s="23" t="n"/>
      <c r="G417" s="21">
        <f>IF($D417="","",IFERROR(IF(VLOOKUP($D417,'Base produits'!$B$5:$J$91,9,FALSE)="","",VLOOKUP($D417,'Base produits'!$B$5:$J$91,9,FALSE)),""))</f>
        <v/>
      </c>
      <c r="H417" s="32" t="n"/>
      <c r="I417" s="21">
        <f>IF(OR($D417="",$F417="",$G417=""),"",$F417*$G417*(1-IFERROR($H417,0)))</f>
        <v/>
      </c>
      <c r="J417" s="21">
        <f>IF(OR($D417="",$F417="",$G417=""),"",($G417-IFERROR(VLOOKUP($D417,'Base produits'!$B$5:$H$91,7,FALSE),0))*$F417*(1-IFERROR($H417,0)))</f>
        <v/>
      </c>
      <c r="K417" s="23" t="n"/>
      <c r="L417" s="29" t="n"/>
    </row>
    <row r="418" ht="23" customHeight="1">
      <c r="A418" s="30" t="n"/>
      <c r="B418" s="23" t="n"/>
      <c r="C418" s="29" t="n"/>
      <c r="D418" s="23" t="n"/>
      <c r="E418" s="31">
        <f>IF($D418="","",IFERROR(VLOOKUP($D418,'Base produits'!$B$5:$F$91,5,FALSE),""))</f>
        <v/>
      </c>
      <c r="F418" s="23" t="n"/>
      <c r="G418" s="21">
        <f>IF($D418="","",IFERROR(IF(VLOOKUP($D418,'Base produits'!$B$5:$J$91,9,FALSE)="","",VLOOKUP($D418,'Base produits'!$B$5:$J$91,9,FALSE)),""))</f>
        <v/>
      </c>
      <c r="H418" s="32" t="n"/>
      <c r="I418" s="21">
        <f>IF(OR($D418="",$F418="",$G418=""),"",$F418*$G418*(1-IFERROR($H418,0)))</f>
        <v/>
      </c>
      <c r="J418" s="21">
        <f>IF(OR($D418="",$F418="",$G418=""),"",($G418-IFERROR(VLOOKUP($D418,'Base produits'!$B$5:$H$91,7,FALSE),0))*$F418*(1-IFERROR($H418,0)))</f>
        <v/>
      </c>
      <c r="K418" s="23" t="n"/>
      <c r="L418" s="29" t="n"/>
    </row>
    <row r="419" ht="23" customHeight="1">
      <c r="A419" s="30" t="n"/>
      <c r="B419" s="23" t="n"/>
      <c r="C419" s="29" t="n"/>
      <c r="D419" s="23" t="n"/>
      <c r="E419" s="31">
        <f>IF($D419="","",IFERROR(VLOOKUP($D419,'Base produits'!$B$5:$F$91,5,FALSE),""))</f>
        <v/>
      </c>
      <c r="F419" s="23" t="n"/>
      <c r="G419" s="21">
        <f>IF($D419="","",IFERROR(IF(VLOOKUP($D419,'Base produits'!$B$5:$J$91,9,FALSE)="","",VLOOKUP($D419,'Base produits'!$B$5:$J$91,9,FALSE)),""))</f>
        <v/>
      </c>
      <c r="H419" s="32" t="n"/>
      <c r="I419" s="21">
        <f>IF(OR($D419="",$F419="",$G419=""),"",$F419*$G419*(1-IFERROR($H419,0)))</f>
        <v/>
      </c>
      <c r="J419" s="21">
        <f>IF(OR($D419="",$F419="",$G419=""),"",($G419-IFERROR(VLOOKUP($D419,'Base produits'!$B$5:$H$91,7,FALSE),0))*$F419*(1-IFERROR($H419,0)))</f>
        <v/>
      </c>
      <c r="K419" s="23" t="n"/>
      <c r="L419" s="29" t="n"/>
    </row>
    <row r="420" ht="23" customHeight="1">
      <c r="A420" s="30" t="n"/>
      <c r="B420" s="23" t="n"/>
      <c r="C420" s="29" t="n"/>
      <c r="D420" s="23" t="n"/>
      <c r="E420" s="31">
        <f>IF($D420="","",IFERROR(VLOOKUP($D420,'Base produits'!$B$5:$F$91,5,FALSE),""))</f>
        <v/>
      </c>
      <c r="F420" s="23" t="n"/>
      <c r="G420" s="21">
        <f>IF($D420="","",IFERROR(IF(VLOOKUP($D420,'Base produits'!$B$5:$J$91,9,FALSE)="","",VLOOKUP($D420,'Base produits'!$B$5:$J$91,9,FALSE)),""))</f>
        <v/>
      </c>
      <c r="H420" s="32" t="n"/>
      <c r="I420" s="21">
        <f>IF(OR($D420="",$F420="",$G420=""),"",$F420*$G420*(1-IFERROR($H420,0)))</f>
        <v/>
      </c>
      <c r="J420" s="21">
        <f>IF(OR($D420="",$F420="",$G420=""),"",($G420-IFERROR(VLOOKUP($D420,'Base produits'!$B$5:$H$91,7,FALSE),0))*$F420*(1-IFERROR($H420,0)))</f>
        <v/>
      </c>
      <c r="K420" s="23" t="n"/>
      <c r="L420" s="29" t="n"/>
    </row>
    <row r="421" ht="23" customHeight="1">
      <c r="A421" s="30" t="n"/>
      <c r="B421" s="23" t="n"/>
      <c r="C421" s="29" t="n"/>
      <c r="D421" s="23" t="n"/>
      <c r="E421" s="31">
        <f>IF($D421="","",IFERROR(VLOOKUP($D421,'Base produits'!$B$5:$F$91,5,FALSE),""))</f>
        <v/>
      </c>
      <c r="F421" s="23" t="n"/>
      <c r="G421" s="21">
        <f>IF($D421="","",IFERROR(IF(VLOOKUP($D421,'Base produits'!$B$5:$J$91,9,FALSE)="","",VLOOKUP($D421,'Base produits'!$B$5:$J$91,9,FALSE)),""))</f>
        <v/>
      </c>
      <c r="H421" s="32" t="n"/>
      <c r="I421" s="21">
        <f>IF(OR($D421="",$F421="",$G421=""),"",$F421*$G421*(1-IFERROR($H421,0)))</f>
        <v/>
      </c>
      <c r="J421" s="21">
        <f>IF(OR($D421="",$F421="",$G421=""),"",($G421-IFERROR(VLOOKUP($D421,'Base produits'!$B$5:$H$91,7,FALSE),0))*$F421*(1-IFERROR($H421,0)))</f>
        <v/>
      </c>
      <c r="K421" s="23" t="n"/>
      <c r="L421" s="29" t="n"/>
    </row>
    <row r="422" ht="23" customHeight="1">
      <c r="A422" s="30" t="n"/>
      <c r="B422" s="23" t="n"/>
      <c r="C422" s="29" t="n"/>
      <c r="D422" s="23" t="n"/>
      <c r="E422" s="31">
        <f>IF($D422="","",IFERROR(VLOOKUP($D422,'Base produits'!$B$5:$F$91,5,FALSE),""))</f>
        <v/>
      </c>
      <c r="F422" s="23" t="n"/>
      <c r="G422" s="21">
        <f>IF($D422="","",IFERROR(IF(VLOOKUP($D422,'Base produits'!$B$5:$J$91,9,FALSE)="","",VLOOKUP($D422,'Base produits'!$B$5:$J$91,9,FALSE)),""))</f>
        <v/>
      </c>
      <c r="H422" s="32" t="n"/>
      <c r="I422" s="21">
        <f>IF(OR($D422="",$F422="",$G422=""),"",$F422*$G422*(1-IFERROR($H422,0)))</f>
        <v/>
      </c>
      <c r="J422" s="21">
        <f>IF(OR($D422="",$F422="",$G422=""),"",($G422-IFERROR(VLOOKUP($D422,'Base produits'!$B$5:$H$91,7,FALSE),0))*$F422*(1-IFERROR($H422,0)))</f>
        <v/>
      </c>
      <c r="K422" s="23" t="n"/>
      <c r="L422" s="29" t="n"/>
    </row>
    <row r="423" ht="23" customHeight="1">
      <c r="A423" s="30" t="n"/>
      <c r="B423" s="23" t="n"/>
      <c r="C423" s="29" t="n"/>
      <c r="D423" s="23" t="n"/>
      <c r="E423" s="31">
        <f>IF($D423="","",IFERROR(VLOOKUP($D423,'Base produits'!$B$5:$F$91,5,FALSE),""))</f>
        <v/>
      </c>
      <c r="F423" s="23" t="n"/>
      <c r="G423" s="21">
        <f>IF($D423="","",IFERROR(IF(VLOOKUP($D423,'Base produits'!$B$5:$J$91,9,FALSE)="","",VLOOKUP($D423,'Base produits'!$B$5:$J$91,9,FALSE)),""))</f>
        <v/>
      </c>
      <c r="H423" s="32" t="n"/>
      <c r="I423" s="21">
        <f>IF(OR($D423="",$F423="",$G423=""),"",$F423*$G423*(1-IFERROR($H423,0)))</f>
        <v/>
      </c>
      <c r="J423" s="21">
        <f>IF(OR($D423="",$F423="",$G423=""),"",($G423-IFERROR(VLOOKUP($D423,'Base produits'!$B$5:$H$91,7,FALSE),0))*$F423*(1-IFERROR($H423,0)))</f>
        <v/>
      </c>
      <c r="K423" s="23" t="n"/>
      <c r="L423" s="29" t="n"/>
    </row>
    <row r="424" ht="23" customHeight="1">
      <c r="A424" s="30" t="n"/>
      <c r="B424" s="23" t="n"/>
      <c r="C424" s="29" t="n"/>
      <c r="D424" s="23" t="n"/>
      <c r="E424" s="31">
        <f>IF($D424="","",IFERROR(VLOOKUP($D424,'Base produits'!$B$5:$F$91,5,FALSE),""))</f>
        <v/>
      </c>
      <c r="F424" s="23" t="n"/>
      <c r="G424" s="21">
        <f>IF($D424="","",IFERROR(IF(VLOOKUP($D424,'Base produits'!$B$5:$J$91,9,FALSE)="","",VLOOKUP($D424,'Base produits'!$B$5:$J$91,9,FALSE)),""))</f>
        <v/>
      </c>
      <c r="H424" s="32" t="n"/>
      <c r="I424" s="21">
        <f>IF(OR($D424="",$F424="",$G424=""),"",$F424*$G424*(1-IFERROR($H424,0)))</f>
        <v/>
      </c>
      <c r="J424" s="21">
        <f>IF(OR($D424="",$F424="",$G424=""),"",($G424-IFERROR(VLOOKUP($D424,'Base produits'!$B$5:$H$91,7,FALSE),0))*$F424*(1-IFERROR($H424,0)))</f>
        <v/>
      </c>
      <c r="K424" s="23" t="n"/>
      <c r="L424" s="29" t="n"/>
    </row>
    <row r="425" ht="23" customHeight="1">
      <c r="A425" s="30" t="n"/>
      <c r="B425" s="23" t="n"/>
      <c r="C425" s="29" t="n"/>
      <c r="D425" s="23" t="n"/>
      <c r="E425" s="31">
        <f>IF($D425="","",IFERROR(VLOOKUP($D425,'Base produits'!$B$5:$F$91,5,FALSE),""))</f>
        <v/>
      </c>
      <c r="F425" s="23" t="n"/>
      <c r="G425" s="21">
        <f>IF($D425="","",IFERROR(IF(VLOOKUP($D425,'Base produits'!$B$5:$J$91,9,FALSE)="","",VLOOKUP($D425,'Base produits'!$B$5:$J$91,9,FALSE)),""))</f>
        <v/>
      </c>
      <c r="H425" s="32" t="n"/>
      <c r="I425" s="21">
        <f>IF(OR($D425="",$F425="",$G425=""),"",$F425*$G425*(1-IFERROR($H425,0)))</f>
        <v/>
      </c>
      <c r="J425" s="21">
        <f>IF(OR($D425="",$F425="",$G425=""),"",($G425-IFERROR(VLOOKUP($D425,'Base produits'!$B$5:$H$91,7,FALSE),0))*$F425*(1-IFERROR($H425,0)))</f>
        <v/>
      </c>
      <c r="K425" s="23" t="n"/>
      <c r="L425" s="29" t="n"/>
    </row>
    <row r="426" ht="23" customHeight="1">
      <c r="A426" s="30" t="n"/>
      <c r="B426" s="23" t="n"/>
      <c r="C426" s="29" t="n"/>
      <c r="D426" s="23" t="n"/>
      <c r="E426" s="31">
        <f>IF($D426="","",IFERROR(VLOOKUP($D426,'Base produits'!$B$5:$F$91,5,FALSE),""))</f>
        <v/>
      </c>
      <c r="F426" s="23" t="n"/>
      <c r="G426" s="21">
        <f>IF($D426="","",IFERROR(IF(VLOOKUP($D426,'Base produits'!$B$5:$J$91,9,FALSE)="","",VLOOKUP($D426,'Base produits'!$B$5:$J$91,9,FALSE)),""))</f>
        <v/>
      </c>
      <c r="H426" s="32" t="n"/>
      <c r="I426" s="21">
        <f>IF(OR($D426="",$F426="",$G426=""),"",$F426*$G426*(1-IFERROR($H426,0)))</f>
        <v/>
      </c>
      <c r="J426" s="21">
        <f>IF(OR($D426="",$F426="",$G426=""),"",($G426-IFERROR(VLOOKUP($D426,'Base produits'!$B$5:$H$91,7,FALSE),0))*$F426*(1-IFERROR($H426,0)))</f>
        <v/>
      </c>
      <c r="K426" s="23" t="n"/>
      <c r="L426" s="29" t="n"/>
    </row>
    <row r="427" ht="23" customHeight="1">
      <c r="A427" s="30" t="n"/>
      <c r="B427" s="23" t="n"/>
      <c r="C427" s="29" t="n"/>
      <c r="D427" s="23" t="n"/>
      <c r="E427" s="31">
        <f>IF($D427="","",IFERROR(VLOOKUP($D427,'Base produits'!$B$5:$F$91,5,FALSE),""))</f>
        <v/>
      </c>
      <c r="F427" s="23" t="n"/>
      <c r="G427" s="21">
        <f>IF($D427="","",IFERROR(IF(VLOOKUP($D427,'Base produits'!$B$5:$J$91,9,FALSE)="","",VLOOKUP($D427,'Base produits'!$B$5:$J$91,9,FALSE)),""))</f>
        <v/>
      </c>
      <c r="H427" s="32" t="n"/>
      <c r="I427" s="21">
        <f>IF(OR($D427="",$F427="",$G427=""),"",$F427*$G427*(1-IFERROR($H427,0)))</f>
        <v/>
      </c>
      <c r="J427" s="21">
        <f>IF(OR($D427="",$F427="",$G427=""),"",($G427-IFERROR(VLOOKUP($D427,'Base produits'!$B$5:$H$91,7,FALSE),0))*$F427*(1-IFERROR($H427,0)))</f>
        <v/>
      </c>
      <c r="K427" s="23" t="n"/>
      <c r="L427" s="29" t="n"/>
    </row>
    <row r="428" ht="23" customHeight="1">
      <c r="A428" s="30" t="n"/>
      <c r="B428" s="23" t="n"/>
      <c r="C428" s="29" t="n"/>
      <c r="D428" s="23" t="n"/>
      <c r="E428" s="31">
        <f>IF($D428="","",IFERROR(VLOOKUP($D428,'Base produits'!$B$5:$F$91,5,FALSE),""))</f>
        <v/>
      </c>
      <c r="F428" s="23" t="n"/>
      <c r="G428" s="21">
        <f>IF($D428="","",IFERROR(IF(VLOOKUP($D428,'Base produits'!$B$5:$J$91,9,FALSE)="","",VLOOKUP($D428,'Base produits'!$B$5:$J$91,9,FALSE)),""))</f>
        <v/>
      </c>
      <c r="H428" s="32" t="n"/>
      <c r="I428" s="21">
        <f>IF(OR($D428="",$F428="",$G428=""),"",$F428*$G428*(1-IFERROR($H428,0)))</f>
        <v/>
      </c>
      <c r="J428" s="21">
        <f>IF(OR($D428="",$F428="",$G428=""),"",($G428-IFERROR(VLOOKUP($D428,'Base produits'!$B$5:$H$91,7,FALSE),0))*$F428*(1-IFERROR($H428,0)))</f>
        <v/>
      </c>
      <c r="K428" s="23" t="n"/>
      <c r="L428" s="29" t="n"/>
    </row>
    <row r="429" ht="23" customHeight="1">
      <c r="A429" s="30" t="n"/>
      <c r="B429" s="23" t="n"/>
      <c r="C429" s="29" t="n"/>
      <c r="D429" s="23" t="n"/>
      <c r="E429" s="31">
        <f>IF($D429="","",IFERROR(VLOOKUP($D429,'Base produits'!$B$5:$F$91,5,FALSE),""))</f>
        <v/>
      </c>
      <c r="F429" s="23" t="n"/>
      <c r="G429" s="21">
        <f>IF($D429="","",IFERROR(IF(VLOOKUP($D429,'Base produits'!$B$5:$J$91,9,FALSE)="","",VLOOKUP($D429,'Base produits'!$B$5:$J$91,9,FALSE)),""))</f>
        <v/>
      </c>
      <c r="H429" s="32" t="n"/>
      <c r="I429" s="21">
        <f>IF(OR($D429="",$F429="",$G429=""),"",$F429*$G429*(1-IFERROR($H429,0)))</f>
        <v/>
      </c>
      <c r="J429" s="21">
        <f>IF(OR($D429="",$F429="",$G429=""),"",($G429-IFERROR(VLOOKUP($D429,'Base produits'!$B$5:$H$91,7,FALSE),0))*$F429*(1-IFERROR($H429,0)))</f>
        <v/>
      </c>
      <c r="K429" s="23" t="n"/>
      <c r="L429" s="29" t="n"/>
    </row>
    <row r="430" ht="23" customHeight="1">
      <c r="A430" s="30" t="n"/>
      <c r="B430" s="23" t="n"/>
      <c r="C430" s="29" t="n"/>
      <c r="D430" s="23" t="n"/>
      <c r="E430" s="31">
        <f>IF($D430="","",IFERROR(VLOOKUP($D430,'Base produits'!$B$5:$F$91,5,FALSE),""))</f>
        <v/>
      </c>
      <c r="F430" s="23" t="n"/>
      <c r="G430" s="21">
        <f>IF($D430="","",IFERROR(IF(VLOOKUP($D430,'Base produits'!$B$5:$J$91,9,FALSE)="","",VLOOKUP($D430,'Base produits'!$B$5:$J$91,9,FALSE)),""))</f>
        <v/>
      </c>
      <c r="H430" s="32" t="n"/>
      <c r="I430" s="21">
        <f>IF(OR($D430="",$F430="",$G430=""),"",$F430*$G430*(1-IFERROR($H430,0)))</f>
        <v/>
      </c>
      <c r="J430" s="21">
        <f>IF(OR($D430="",$F430="",$G430=""),"",($G430-IFERROR(VLOOKUP($D430,'Base produits'!$B$5:$H$91,7,FALSE),0))*$F430*(1-IFERROR($H430,0)))</f>
        <v/>
      </c>
      <c r="K430" s="23" t="n"/>
      <c r="L430" s="29" t="n"/>
    </row>
    <row r="431" ht="23" customHeight="1">
      <c r="A431" s="30" t="n"/>
      <c r="B431" s="23" t="n"/>
      <c r="C431" s="29" t="n"/>
      <c r="D431" s="23" t="n"/>
      <c r="E431" s="31">
        <f>IF($D431="","",IFERROR(VLOOKUP($D431,'Base produits'!$B$5:$F$91,5,FALSE),""))</f>
        <v/>
      </c>
      <c r="F431" s="23" t="n"/>
      <c r="G431" s="21">
        <f>IF($D431="","",IFERROR(IF(VLOOKUP($D431,'Base produits'!$B$5:$J$91,9,FALSE)="","",VLOOKUP($D431,'Base produits'!$B$5:$J$91,9,FALSE)),""))</f>
        <v/>
      </c>
      <c r="H431" s="32" t="n"/>
      <c r="I431" s="21">
        <f>IF(OR($D431="",$F431="",$G431=""),"",$F431*$G431*(1-IFERROR($H431,0)))</f>
        <v/>
      </c>
      <c r="J431" s="21">
        <f>IF(OR($D431="",$F431="",$G431=""),"",($G431-IFERROR(VLOOKUP($D431,'Base produits'!$B$5:$H$91,7,FALSE),0))*$F431*(1-IFERROR($H431,0)))</f>
        <v/>
      </c>
      <c r="K431" s="23" t="n"/>
      <c r="L431" s="29" t="n"/>
    </row>
    <row r="432" ht="23" customHeight="1">
      <c r="A432" s="30" t="n"/>
      <c r="B432" s="23" t="n"/>
      <c r="C432" s="29" t="n"/>
      <c r="D432" s="23" t="n"/>
      <c r="E432" s="31">
        <f>IF($D432="","",IFERROR(VLOOKUP($D432,'Base produits'!$B$5:$F$91,5,FALSE),""))</f>
        <v/>
      </c>
      <c r="F432" s="23" t="n"/>
      <c r="G432" s="21">
        <f>IF($D432="","",IFERROR(IF(VLOOKUP($D432,'Base produits'!$B$5:$J$91,9,FALSE)="","",VLOOKUP($D432,'Base produits'!$B$5:$J$91,9,FALSE)),""))</f>
        <v/>
      </c>
      <c r="H432" s="32" t="n"/>
      <c r="I432" s="21">
        <f>IF(OR($D432="",$F432="",$G432=""),"",$F432*$G432*(1-IFERROR($H432,0)))</f>
        <v/>
      </c>
      <c r="J432" s="21">
        <f>IF(OR($D432="",$F432="",$G432=""),"",($G432-IFERROR(VLOOKUP($D432,'Base produits'!$B$5:$H$91,7,FALSE),0))*$F432*(1-IFERROR($H432,0)))</f>
        <v/>
      </c>
      <c r="K432" s="23" t="n"/>
      <c r="L432" s="29" t="n"/>
    </row>
    <row r="433" ht="23" customHeight="1">
      <c r="A433" s="30" t="n"/>
      <c r="B433" s="23" t="n"/>
      <c r="C433" s="29" t="n"/>
      <c r="D433" s="23" t="n"/>
      <c r="E433" s="31">
        <f>IF($D433="","",IFERROR(VLOOKUP($D433,'Base produits'!$B$5:$F$91,5,FALSE),""))</f>
        <v/>
      </c>
      <c r="F433" s="23" t="n"/>
      <c r="G433" s="21">
        <f>IF($D433="","",IFERROR(IF(VLOOKUP($D433,'Base produits'!$B$5:$J$91,9,FALSE)="","",VLOOKUP($D433,'Base produits'!$B$5:$J$91,9,FALSE)),""))</f>
        <v/>
      </c>
      <c r="H433" s="32" t="n"/>
      <c r="I433" s="21">
        <f>IF(OR($D433="",$F433="",$G433=""),"",$F433*$G433*(1-IFERROR($H433,0)))</f>
        <v/>
      </c>
      <c r="J433" s="21">
        <f>IF(OR($D433="",$F433="",$G433=""),"",($G433-IFERROR(VLOOKUP($D433,'Base produits'!$B$5:$H$91,7,FALSE),0))*$F433*(1-IFERROR($H433,0)))</f>
        <v/>
      </c>
      <c r="K433" s="23" t="n"/>
      <c r="L433" s="29" t="n"/>
    </row>
    <row r="434" ht="23" customHeight="1">
      <c r="A434" s="30" t="n"/>
      <c r="B434" s="23" t="n"/>
      <c r="C434" s="29" t="n"/>
      <c r="D434" s="23" t="n"/>
      <c r="E434" s="31">
        <f>IF($D434="","",IFERROR(VLOOKUP($D434,'Base produits'!$B$5:$F$91,5,FALSE),""))</f>
        <v/>
      </c>
      <c r="F434" s="23" t="n"/>
      <c r="G434" s="21">
        <f>IF($D434="","",IFERROR(IF(VLOOKUP($D434,'Base produits'!$B$5:$J$91,9,FALSE)="","",VLOOKUP($D434,'Base produits'!$B$5:$J$91,9,FALSE)),""))</f>
        <v/>
      </c>
      <c r="H434" s="32" t="n"/>
      <c r="I434" s="21">
        <f>IF(OR($D434="",$F434="",$G434=""),"",$F434*$G434*(1-IFERROR($H434,0)))</f>
        <v/>
      </c>
      <c r="J434" s="21">
        <f>IF(OR($D434="",$F434="",$G434=""),"",($G434-IFERROR(VLOOKUP($D434,'Base produits'!$B$5:$H$91,7,FALSE),0))*$F434*(1-IFERROR($H434,0)))</f>
        <v/>
      </c>
      <c r="K434" s="23" t="n"/>
      <c r="L434" s="29" t="n"/>
    </row>
    <row r="435" ht="23" customHeight="1">
      <c r="A435" s="30" t="n"/>
      <c r="B435" s="23" t="n"/>
      <c r="C435" s="29" t="n"/>
      <c r="D435" s="23" t="n"/>
      <c r="E435" s="31">
        <f>IF($D435="","",IFERROR(VLOOKUP($D435,'Base produits'!$B$5:$F$91,5,FALSE),""))</f>
        <v/>
      </c>
      <c r="F435" s="23" t="n"/>
      <c r="G435" s="21">
        <f>IF($D435="","",IFERROR(IF(VLOOKUP($D435,'Base produits'!$B$5:$J$91,9,FALSE)="","",VLOOKUP($D435,'Base produits'!$B$5:$J$91,9,FALSE)),""))</f>
        <v/>
      </c>
      <c r="H435" s="32" t="n"/>
      <c r="I435" s="21">
        <f>IF(OR($D435="",$F435="",$G435=""),"",$F435*$G435*(1-IFERROR($H435,0)))</f>
        <v/>
      </c>
      <c r="J435" s="21">
        <f>IF(OR($D435="",$F435="",$G435=""),"",($G435-IFERROR(VLOOKUP($D435,'Base produits'!$B$5:$H$91,7,FALSE),0))*$F435*(1-IFERROR($H435,0)))</f>
        <v/>
      </c>
      <c r="K435" s="23" t="n"/>
      <c r="L435" s="29" t="n"/>
    </row>
    <row r="436" ht="23" customHeight="1">
      <c r="A436" s="30" t="n"/>
      <c r="B436" s="23" t="n"/>
      <c r="C436" s="29" t="n"/>
      <c r="D436" s="23" t="n"/>
      <c r="E436" s="31">
        <f>IF($D436="","",IFERROR(VLOOKUP($D436,'Base produits'!$B$5:$F$91,5,FALSE),""))</f>
        <v/>
      </c>
      <c r="F436" s="23" t="n"/>
      <c r="G436" s="21">
        <f>IF($D436="","",IFERROR(IF(VLOOKUP($D436,'Base produits'!$B$5:$J$91,9,FALSE)="","",VLOOKUP($D436,'Base produits'!$B$5:$J$91,9,FALSE)),""))</f>
        <v/>
      </c>
      <c r="H436" s="32" t="n"/>
      <c r="I436" s="21">
        <f>IF(OR($D436="",$F436="",$G436=""),"",$F436*$G436*(1-IFERROR($H436,0)))</f>
        <v/>
      </c>
      <c r="J436" s="21">
        <f>IF(OR($D436="",$F436="",$G436=""),"",($G436-IFERROR(VLOOKUP($D436,'Base produits'!$B$5:$H$91,7,FALSE),0))*$F436*(1-IFERROR($H436,0)))</f>
        <v/>
      </c>
      <c r="K436" s="23" t="n"/>
      <c r="L436" s="29" t="n"/>
    </row>
    <row r="437" ht="23" customHeight="1">
      <c r="A437" s="30" t="n"/>
      <c r="B437" s="23" t="n"/>
      <c r="C437" s="29" t="n"/>
      <c r="D437" s="23" t="n"/>
      <c r="E437" s="31">
        <f>IF($D437="","",IFERROR(VLOOKUP($D437,'Base produits'!$B$5:$F$91,5,FALSE),""))</f>
        <v/>
      </c>
      <c r="F437" s="23" t="n"/>
      <c r="G437" s="21">
        <f>IF($D437="","",IFERROR(IF(VLOOKUP($D437,'Base produits'!$B$5:$J$91,9,FALSE)="","",VLOOKUP($D437,'Base produits'!$B$5:$J$91,9,FALSE)),""))</f>
        <v/>
      </c>
      <c r="H437" s="32" t="n"/>
      <c r="I437" s="21">
        <f>IF(OR($D437="",$F437="",$G437=""),"",$F437*$G437*(1-IFERROR($H437,0)))</f>
        <v/>
      </c>
      <c r="J437" s="21">
        <f>IF(OR($D437="",$F437="",$G437=""),"",($G437-IFERROR(VLOOKUP($D437,'Base produits'!$B$5:$H$91,7,FALSE),0))*$F437*(1-IFERROR($H437,0)))</f>
        <v/>
      </c>
      <c r="K437" s="23" t="n"/>
      <c r="L437" s="29" t="n"/>
    </row>
    <row r="438" ht="23" customHeight="1">
      <c r="A438" s="30" t="n"/>
      <c r="B438" s="23" t="n"/>
      <c r="C438" s="29" t="n"/>
      <c r="D438" s="23" t="n"/>
      <c r="E438" s="31">
        <f>IF($D438="","",IFERROR(VLOOKUP($D438,'Base produits'!$B$5:$F$91,5,FALSE),""))</f>
        <v/>
      </c>
      <c r="F438" s="23" t="n"/>
      <c r="G438" s="21">
        <f>IF($D438="","",IFERROR(IF(VLOOKUP($D438,'Base produits'!$B$5:$J$91,9,FALSE)="","",VLOOKUP($D438,'Base produits'!$B$5:$J$91,9,FALSE)),""))</f>
        <v/>
      </c>
      <c r="H438" s="32" t="n"/>
      <c r="I438" s="21">
        <f>IF(OR($D438="",$F438="",$G438=""),"",$F438*$G438*(1-IFERROR($H438,0)))</f>
        <v/>
      </c>
      <c r="J438" s="21">
        <f>IF(OR($D438="",$F438="",$G438=""),"",($G438-IFERROR(VLOOKUP($D438,'Base produits'!$B$5:$H$91,7,FALSE),0))*$F438*(1-IFERROR($H438,0)))</f>
        <v/>
      </c>
      <c r="K438" s="23" t="n"/>
      <c r="L438" s="29" t="n"/>
    </row>
    <row r="439" ht="23" customHeight="1">
      <c r="A439" s="30" t="n"/>
      <c r="B439" s="23" t="n"/>
      <c r="C439" s="29" t="n"/>
      <c r="D439" s="23" t="n"/>
      <c r="E439" s="31">
        <f>IF($D439="","",IFERROR(VLOOKUP($D439,'Base produits'!$B$5:$F$91,5,FALSE),""))</f>
        <v/>
      </c>
      <c r="F439" s="23" t="n"/>
      <c r="G439" s="21">
        <f>IF($D439="","",IFERROR(IF(VLOOKUP($D439,'Base produits'!$B$5:$J$91,9,FALSE)="","",VLOOKUP($D439,'Base produits'!$B$5:$J$91,9,FALSE)),""))</f>
        <v/>
      </c>
      <c r="H439" s="32" t="n"/>
      <c r="I439" s="21">
        <f>IF(OR($D439="",$F439="",$G439=""),"",$F439*$G439*(1-IFERROR($H439,0)))</f>
        <v/>
      </c>
      <c r="J439" s="21">
        <f>IF(OR($D439="",$F439="",$G439=""),"",($G439-IFERROR(VLOOKUP($D439,'Base produits'!$B$5:$H$91,7,FALSE),0))*$F439*(1-IFERROR($H439,0)))</f>
        <v/>
      </c>
      <c r="K439" s="23" t="n"/>
      <c r="L439" s="29" t="n"/>
    </row>
    <row r="440" ht="23" customHeight="1">
      <c r="A440" s="30" t="n"/>
      <c r="B440" s="23" t="n"/>
      <c r="C440" s="29" t="n"/>
      <c r="D440" s="23" t="n"/>
      <c r="E440" s="31">
        <f>IF($D440="","",IFERROR(VLOOKUP($D440,'Base produits'!$B$5:$F$91,5,FALSE),""))</f>
        <v/>
      </c>
      <c r="F440" s="23" t="n"/>
      <c r="G440" s="21">
        <f>IF($D440="","",IFERROR(IF(VLOOKUP($D440,'Base produits'!$B$5:$J$91,9,FALSE)="","",VLOOKUP($D440,'Base produits'!$B$5:$J$91,9,FALSE)),""))</f>
        <v/>
      </c>
      <c r="H440" s="32" t="n"/>
      <c r="I440" s="21">
        <f>IF(OR($D440="",$F440="",$G440=""),"",$F440*$G440*(1-IFERROR($H440,0)))</f>
        <v/>
      </c>
      <c r="J440" s="21">
        <f>IF(OR($D440="",$F440="",$G440=""),"",($G440-IFERROR(VLOOKUP($D440,'Base produits'!$B$5:$H$91,7,FALSE),0))*$F440*(1-IFERROR($H440,0)))</f>
        <v/>
      </c>
      <c r="K440" s="23" t="n"/>
      <c r="L440" s="29" t="n"/>
    </row>
    <row r="441" ht="23" customHeight="1">
      <c r="A441" s="30" t="n"/>
      <c r="B441" s="23" t="n"/>
      <c r="C441" s="29" t="n"/>
      <c r="D441" s="23" t="n"/>
      <c r="E441" s="31">
        <f>IF($D441="","",IFERROR(VLOOKUP($D441,'Base produits'!$B$5:$F$91,5,FALSE),""))</f>
        <v/>
      </c>
      <c r="F441" s="23" t="n"/>
      <c r="G441" s="21">
        <f>IF($D441="","",IFERROR(IF(VLOOKUP($D441,'Base produits'!$B$5:$J$91,9,FALSE)="","",VLOOKUP($D441,'Base produits'!$B$5:$J$91,9,FALSE)),""))</f>
        <v/>
      </c>
      <c r="H441" s="32" t="n"/>
      <c r="I441" s="21">
        <f>IF(OR($D441="",$F441="",$G441=""),"",$F441*$G441*(1-IFERROR($H441,0)))</f>
        <v/>
      </c>
      <c r="J441" s="21">
        <f>IF(OR($D441="",$F441="",$G441=""),"",($G441-IFERROR(VLOOKUP($D441,'Base produits'!$B$5:$H$91,7,FALSE),0))*$F441*(1-IFERROR($H441,0)))</f>
        <v/>
      </c>
      <c r="K441" s="23" t="n"/>
      <c r="L441" s="29" t="n"/>
    </row>
    <row r="442" ht="23" customHeight="1">
      <c r="A442" s="30" t="n"/>
      <c r="B442" s="23" t="n"/>
      <c r="C442" s="29" t="n"/>
      <c r="D442" s="23" t="n"/>
      <c r="E442" s="31">
        <f>IF($D442="","",IFERROR(VLOOKUP($D442,'Base produits'!$B$5:$F$91,5,FALSE),""))</f>
        <v/>
      </c>
      <c r="F442" s="23" t="n"/>
      <c r="G442" s="21">
        <f>IF($D442="","",IFERROR(IF(VLOOKUP($D442,'Base produits'!$B$5:$J$91,9,FALSE)="","",VLOOKUP($D442,'Base produits'!$B$5:$J$91,9,FALSE)),""))</f>
        <v/>
      </c>
      <c r="H442" s="32" t="n"/>
      <c r="I442" s="21">
        <f>IF(OR($D442="",$F442="",$G442=""),"",$F442*$G442*(1-IFERROR($H442,0)))</f>
        <v/>
      </c>
      <c r="J442" s="21">
        <f>IF(OR($D442="",$F442="",$G442=""),"",($G442-IFERROR(VLOOKUP($D442,'Base produits'!$B$5:$H$91,7,FALSE),0))*$F442*(1-IFERROR($H442,0)))</f>
        <v/>
      </c>
      <c r="K442" s="23" t="n"/>
      <c r="L442" s="29" t="n"/>
    </row>
    <row r="443" ht="23" customHeight="1">
      <c r="A443" s="30" t="n"/>
      <c r="B443" s="23" t="n"/>
      <c r="C443" s="29" t="n"/>
      <c r="D443" s="23" t="n"/>
      <c r="E443" s="31">
        <f>IF($D443="","",IFERROR(VLOOKUP($D443,'Base produits'!$B$5:$F$91,5,FALSE),""))</f>
        <v/>
      </c>
      <c r="F443" s="23" t="n"/>
      <c r="G443" s="21">
        <f>IF($D443="","",IFERROR(IF(VLOOKUP($D443,'Base produits'!$B$5:$J$91,9,FALSE)="","",VLOOKUP($D443,'Base produits'!$B$5:$J$91,9,FALSE)),""))</f>
        <v/>
      </c>
      <c r="H443" s="32" t="n"/>
      <c r="I443" s="21">
        <f>IF(OR($D443="",$F443="",$G443=""),"",$F443*$G443*(1-IFERROR($H443,0)))</f>
        <v/>
      </c>
      <c r="J443" s="21">
        <f>IF(OR($D443="",$F443="",$G443=""),"",($G443-IFERROR(VLOOKUP($D443,'Base produits'!$B$5:$H$91,7,FALSE),0))*$F443*(1-IFERROR($H443,0)))</f>
        <v/>
      </c>
      <c r="K443" s="23" t="n"/>
      <c r="L443" s="29" t="n"/>
    </row>
    <row r="444" ht="23" customHeight="1">
      <c r="A444" s="30" t="n"/>
      <c r="B444" s="23" t="n"/>
      <c r="C444" s="29" t="n"/>
      <c r="D444" s="23" t="n"/>
      <c r="E444" s="31">
        <f>IF($D444="","",IFERROR(VLOOKUP($D444,'Base produits'!$B$5:$F$91,5,FALSE),""))</f>
        <v/>
      </c>
      <c r="F444" s="23" t="n"/>
      <c r="G444" s="21">
        <f>IF($D444="","",IFERROR(IF(VLOOKUP($D444,'Base produits'!$B$5:$J$91,9,FALSE)="","",VLOOKUP($D444,'Base produits'!$B$5:$J$91,9,FALSE)),""))</f>
        <v/>
      </c>
      <c r="H444" s="32" t="n"/>
      <c r="I444" s="21">
        <f>IF(OR($D444="",$F444="",$G444=""),"",$F444*$G444*(1-IFERROR($H444,0)))</f>
        <v/>
      </c>
      <c r="J444" s="21">
        <f>IF(OR($D444="",$F444="",$G444=""),"",($G444-IFERROR(VLOOKUP($D444,'Base produits'!$B$5:$H$91,7,FALSE),0))*$F444*(1-IFERROR($H444,0)))</f>
        <v/>
      </c>
      <c r="K444" s="23" t="n"/>
      <c r="L444" s="29" t="n"/>
    </row>
    <row r="445" ht="23" customHeight="1">
      <c r="A445" s="30" t="n"/>
      <c r="B445" s="23" t="n"/>
      <c r="C445" s="29" t="n"/>
      <c r="D445" s="23" t="n"/>
      <c r="E445" s="31">
        <f>IF($D445="","",IFERROR(VLOOKUP($D445,'Base produits'!$B$5:$F$91,5,FALSE),""))</f>
        <v/>
      </c>
      <c r="F445" s="23" t="n"/>
      <c r="G445" s="21">
        <f>IF($D445="","",IFERROR(IF(VLOOKUP($D445,'Base produits'!$B$5:$J$91,9,FALSE)="","",VLOOKUP($D445,'Base produits'!$B$5:$J$91,9,FALSE)),""))</f>
        <v/>
      </c>
      <c r="H445" s="32" t="n"/>
      <c r="I445" s="21">
        <f>IF(OR($D445="",$F445="",$G445=""),"",$F445*$G445*(1-IFERROR($H445,0)))</f>
        <v/>
      </c>
      <c r="J445" s="21">
        <f>IF(OR($D445="",$F445="",$G445=""),"",($G445-IFERROR(VLOOKUP($D445,'Base produits'!$B$5:$H$91,7,FALSE),0))*$F445*(1-IFERROR($H445,0)))</f>
        <v/>
      </c>
      <c r="K445" s="23" t="n"/>
      <c r="L445" s="29" t="n"/>
    </row>
    <row r="446" ht="23" customHeight="1">
      <c r="A446" s="30" t="n"/>
      <c r="B446" s="23" t="n"/>
      <c r="C446" s="29" t="n"/>
      <c r="D446" s="23" t="n"/>
      <c r="E446" s="31">
        <f>IF($D446="","",IFERROR(VLOOKUP($D446,'Base produits'!$B$5:$F$91,5,FALSE),""))</f>
        <v/>
      </c>
      <c r="F446" s="23" t="n"/>
      <c r="G446" s="21">
        <f>IF($D446="","",IFERROR(IF(VLOOKUP($D446,'Base produits'!$B$5:$J$91,9,FALSE)="","",VLOOKUP($D446,'Base produits'!$B$5:$J$91,9,FALSE)),""))</f>
        <v/>
      </c>
      <c r="H446" s="32" t="n"/>
      <c r="I446" s="21">
        <f>IF(OR($D446="",$F446="",$G446=""),"",$F446*$G446*(1-IFERROR($H446,0)))</f>
        <v/>
      </c>
      <c r="J446" s="21">
        <f>IF(OR($D446="",$F446="",$G446=""),"",($G446-IFERROR(VLOOKUP($D446,'Base produits'!$B$5:$H$91,7,FALSE),0))*$F446*(1-IFERROR($H446,0)))</f>
        <v/>
      </c>
      <c r="K446" s="23" t="n"/>
      <c r="L446" s="29" t="n"/>
    </row>
    <row r="447" ht="23" customHeight="1">
      <c r="A447" s="30" t="n"/>
      <c r="B447" s="23" t="n"/>
      <c r="C447" s="29" t="n"/>
      <c r="D447" s="23" t="n"/>
      <c r="E447" s="31">
        <f>IF($D447="","",IFERROR(VLOOKUP($D447,'Base produits'!$B$5:$F$91,5,FALSE),""))</f>
        <v/>
      </c>
      <c r="F447" s="23" t="n"/>
      <c r="G447" s="21">
        <f>IF($D447="","",IFERROR(IF(VLOOKUP($D447,'Base produits'!$B$5:$J$91,9,FALSE)="","",VLOOKUP($D447,'Base produits'!$B$5:$J$91,9,FALSE)),""))</f>
        <v/>
      </c>
      <c r="H447" s="32" t="n"/>
      <c r="I447" s="21">
        <f>IF(OR($D447="",$F447="",$G447=""),"",$F447*$G447*(1-IFERROR($H447,0)))</f>
        <v/>
      </c>
      <c r="J447" s="21">
        <f>IF(OR($D447="",$F447="",$G447=""),"",($G447-IFERROR(VLOOKUP($D447,'Base produits'!$B$5:$H$91,7,FALSE),0))*$F447*(1-IFERROR($H447,0)))</f>
        <v/>
      </c>
      <c r="K447" s="23" t="n"/>
      <c r="L447" s="29" t="n"/>
    </row>
    <row r="448" ht="23" customHeight="1">
      <c r="A448" s="30" t="n"/>
      <c r="B448" s="23" t="n"/>
      <c r="C448" s="29" t="n"/>
      <c r="D448" s="23" t="n"/>
      <c r="E448" s="31">
        <f>IF($D448="","",IFERROR(VLOOKUP($D448,'Base produits'!$B$5:$F$91,5,FALSE),""))</f>
        <v/>
      </c>
      <c r="F448" s="23" t="n"/>
      <c r="G448" s="21">
        <f>IF($D448="","",IFERROR(IF(VLOOKUP($D448,'Base produits'!$B$5:$J$91,9,FALSE)="","",VLOOKUP($D448,'Base produits'!$B$5:$J$91,9,FALSE)),""))</f>
        <v/>
      </c>
      <c r="H448" s="32" t="n"/>
      <c r="I448" s="21">
        <f>IF(OR($D448="",$F448="",$G448=""),"",$F448*$G448*(1-IFERROR($H448,0)))</f>
        <v/>
      </c>
      <c r="J448" s="21">
        <f>IF(OR($D448="",$F448="",$G448=""),"",($G448-IFERROR(VLOOKUP($D448,'Base produits'!$B$5:$H$91,7,FALSE),0))*$F448*(1-IFERROR($H448,0)))</f>
        <v/>
      </c>
      <c r="K448" s="23" t="n"/>
      <c r="L448" s="29" t="n"/>
    </row>
    <row r="449" ht="23" customHeight="1">
      <c r="A449" s="30" t="n"/>
      <c r="B449" s="23" t="n"/>
      <c r="C449" s="29" t="n"/>
      <c r="D449" s="23" t="n"/>
      <c r="E449" s="31">
        <f>IF($D449="","",IFERROR(VLOOKUP($D449,'Base produits'!$B$5:$F$91,5,FALSE),""))</f>
        <v/>
      </c>
      <c r="F449" s="23" t="n"/>
      <c r="G449" s="21">
        <f>IF($D449="","",IFERROR(IF(VLOOKUP($D449,'Base produits'!$B$5:$J$91,9,FALSE)="","",VLOOKUP($D449,'Base produits'!$B$5:$J$91,9,FALSE)),""))</f>
        <v/>
      </c>
      <c r="H449" s="32" t="n"/>
      <c r="I449" s="21">
        <f>IF(OR($D449="",$F449="",$G449=""),"",$F449*$G449*(1-IFERROR($H449,0)))</f>
        <v/>
      </c>
      <c r="J449" s="21">
        <f>IF(OR($D449="",$F449="",$G449=""),"",($G449-IFERROR(VLOOKUP($D449,'Base produits'!$B$5:$H$91,7,FALSE),0))*$F449*(1-IFERROR($H449,0)))</f>
        <v/>
      </c>
      <c r="K449" s="23" t="n"/>
      <c r="L449" s="29" t="n"/>
    </row>
    <row r="450" ht="23" customHeight="1">
      <c r="A450" s="30" t="n"/>
      <c r="B450" s="23" t="n"/>
      <c r="C450" s="29" t="n"/>
      <c r="D450" s="23" t="n"/>
      <c r="E450" s="31">
        <f>IF($D450="","",IFERROR(VLOOKUP($D450,'Base produits'!$B$5:$F$91,5,FALSE),""))</f>
        <v/>
      </c>
      <c r="F450" s="23" t="n"/>
      <c r="G450" s="21">
        <f>IF($D450="","",IFERROR(IF(VLOOKUP($D450,'Base produits'!$B$5:$J$91,9,FALSE)="","",VLOOKUP($D450,'Base produits'!$B$5:$J$91,9,FALSE)),""))</f>
        <v/>
      </c>
      <c r="H450" s="32" t="n"/>
      <c r="I450" s="21">
        <f>IF(OR($D450="",$F450="",$G450=""),"",$F450*$G450*(1-IFERROR($H450,0)))</f>
        <v/>
      </c>
      <c r="J450" s="21">
        <f>IF(OR($D450="",$F450="",$G450=""),"",($G450-IFERROR(VLOOKUP($D450,'Base produits'!$B$5:$H$91,7,FALSE),0))*$F450*(1-IFERROR($H450,0)))</f>
        <v/>
      </c>
      <c r="K450" s="23" t="n"/>
      <c r="L450" s="29" t="n"/>
    </row>
    <row r="451" ht="23" customHeight="1">
      <c r="A451" s="30" t="n"/>
      <c r="B451" s="23" t="n"/>
      <c r="C451" s="29" t="n"/>
      <c r="D451" s="23" t="n"/>
      <c r="E451" s="31">
        <f>IF($D451="","",IFERROR(VLOOKUP($D451,'Base produits'!$B$5:$F$91,5,FALSE),""))</f>
        <v/>
      </c>
      <c r="F451" s="23" t="n"/>
      <c r="G451" s="21">
        <f>IF($D451="","",IFERROR(IF(VLOOKUP($D451,'Base produits'!$B$5:$J$91,9,FALSE)="","",VLOOKUP($D451,'Base produits'!$B$5:$J$91,9,FALSE)),""))</f>
        <v/>
      </c>
      <c r="H451" s="32" t="n"/>
      <c r="I451" s="21">
        <f>IF(OR($D451="",$F451="",$G451=""),"",$F451*$G451*(1-IFERROR($H451,0)))</f>
        <v/>
      </c>
      <c r="J451" s="21">
        <f>IF(OR($D451="",$F451="",$G451=""),"",($G451-IFERROR(VLOOKUP($D451,'Base produits'!$B$5:$H$91,7,FALSE),0))*$F451*(1-IFERROR($H451,0)))</f>
        <v/>
      </c>
      <c r="K451" s="23" t="n"/>
      <c r="L451" s="29" t="n"/>
    </row>
    <row r="452" ht="23" customHeight="1">
      <c r="A452" s="30" t="n"/>
      <c r="B452" s="23" t="n"/>
      <c r="C452" s="29" t="n"/>
      <c r="D452" s="23" t="n"/>
      <c r="E452" s="31">
        <f>IF($D452="","",IFERROR(VLOOKUP($D452,'Base produits'!$B$5:$F$91,5,FALSE),""))</f>
        <v/>
      </c>
      <c r="F452" s="23" t="n"/>
      <c r="G452" s="21">
        <f>IF($D452="","",IFERROR(IF(VLOOKUP($D452,'Base produits'!$B$5:$J$91,9,FALSE)="","",VLOOKUP($D452,'Base produits'!$B$5:$J$91,9,FALSE)),""))</f>
        <v/>
      </c>
      <c r="H452" s="32" t="n"/>
      <c r="I452" s="21">
        <f>IF(OR($D452="",$F452="",$G452=""),"",$F452*$G452*(1-IFERROR($H452,0)))</f>
        <v/>
      </c>
      <c r="J452" s="21">
        <f>IF(OR($D452="",$F452="",$G452=""),"",($G452-IFERROR(VLOOKUP($D452,'Base produits'!$B$5:$H$91,7,FALSE),0))*$F452*(1-IFERROR($H452,0)))</f>
        <v/>
      </c>
      <c r="K452" s="23" t="n"/>
      <c r="L452" s="29" t="n"/>
    </row>
    <row r="453" ht="23" customHeight="1">
      <c r="A453" s="30" t="n"/>
      <c r="B453" s="23" t="n"/>
      <c r="C453" s="29" t="n"/>
      <c r="D453" s="23" t="n"/>
      <c r="E453" s="31">
        <f>IF($D453="","",IFERROR(VLOOKUP($D453,'Base produits'!$B$5:$F$91,5,FALSE),""))</f>
        <v/>
      </c>
      <c r="F453" s="23" t="n"/>
      <c r="G453" s="21">
        <f>IF($D453="","",IFERROR(IF(VLOOKUP($D453,'Base produits'!$B$5:$J$91,9,FALSE)="","",VLOOKUP($D453,'Base produits'!$B$5:$J$91,9,FALSE)),""))</f>
        <v/>
      </c>
      <c r="H453" s="32" t="n"/>
      <c r="I453" s="21">
        <f>IF(OR($D453="",$F453="",$G453=""),"",$F453*$G453*(1-IFERROR($H453,0)))</f>
        <v/>
      </c>
      <c r="J453" s="21">
        <f>IF(OR($D453="",$F453="",$G453=""),"",($G453-IFERROR(VLOOKUP($D453,'Base produits'!$B$5:$H$91,7,FALSE),0))*$F453*(1-IFERROR($H453,0)))</f>
        <v/>
      </c>
      <c r="K453" s="23" t="n"/>
      <c r="L453" s="29" t="n"/>
    </row>
    <row r="454" ht="23" customHeight="1">
      <c r="A454" s="30" t="n"/>
      <c r="B454" s="23" t="n"/>
      <c r="C454" s="29" t="n"/>
      <c r="D454" s="23" t="n"/>
      <c r="E454" s="31">
        <f>IF($D454="","",IFERROR(VLOOKUP($D454,'Base produits'!$B$5:$F$91,5,FALSE),""))</f>
        <v/>
      </c>
      <c r="F454" s="23" t="n"/>
      <c r="G454" s="21">
        <f>IF($D454="","",IFERROR(IF(VLOOKUP($D454,'Base produits'!$B$5:$J$91,9,FALSE)="","",VLOOKUP($D454,'Base produits'!$B$5:$J$91,9,FALSE)),""))</f>
        <v/>
      </c>
      <c r="H454" s="32" t="n"/>
      <c r="I454" s="21">
        <f>IF(OR($D454="",$F454="",$G454=""),"",$F454*$G454*(1-IFERROR($H454,0)))</f>
        <v/>
      </c>
      <c r="J454" s="21">
        <f>IF(OR($D454="",$F454="",$G454=""),"",($G454-IFERROR(VLOOKUP($D454,'Base produits'!$B$5:$H$91,7,FALSE),0))*$F454*(1-IFERROR($H454,0)))</f>
        <v/>
      </c>
      <c r="K454" s="23" t="n"/>
      <c r="L454" s="29" t="n"/>
    </row>
    <row r="455" ht="23" customHeight="1">
      <c r="A455" s="30" t="n"/>
      <c r="B455" s="23" t="n"/>
      <c r="C455" s="29" t="n"/>
      <c r="D455" s="23" t="n"/>
      <c r="E455" s="31">
        <f>IF($D455="","",IFERROR(VLOOKUP($D455,'Base produits'!$B$5:$F$91,5,FALSE),""))</f>
        <v/>
      </c>
      <c r="F455" s="23" t="n"/>
      <c r="G455" s="21">
        <f>IF($D455="","",IFERROR(IF(VLOOKUP($D455,'Base produits'!$B$5:$J$91,9,FALSE)="","",VLOOKUP($D455,'Base produits'!$B$5:$J$91,9,FALSE)),""))</f>
        <v/>
      </c>
      <c r="H455" s="32" t="n"/>
      <c r="I455" s="21">
        <f>IF(OR($D455="",$F455="",$G455=""),"",$F455*$G455*(1-IFERROR($H455,0)))</f>
        <v/>
      </c>
      <c r="J455" s="21">
        <f>IF(OR($D455="",$F455="",$G455=""),"",($G455-IFERROR(VLOOKUP($D455,'Base produits'!$B$5:$H$91,7,FALSE),0))*$F455*(1-IFERROR($H455,0)))</f>
        <v/>
      </c>
      <c r="K455" s="23" t="n"/>
      <c r="L455" s="29" t="n"/>
    </row>
    <row r="456" ht="23" customHeight="1">
      <c r="A456" s="30" t="n"/>
      <c r="B456" s="23" t="n"/>
      <c r="C456" s="29" t="n"/>
      <c r="D456" s="23" t="n"/>
      <c r="E456" s="31">
        <f>IF($D456="","",IFERROR(VLOOKUP($D456,'Base produits'!$B$5:$F$91,5,FALSE),""))</f>
        <v/>
      </c>
      <c r="F456" s="23" t="n"/>
      <c r="G456" s="21">
        <f>IF($D456="","",IFERROR(IF(VLOOKUP($D456,'Base produits'!$B$5:$J$91,9,FALSE)="","",VLOOKUP($D456,'Base produits'!$B$5:$J$91,9,FALSE)),""))</f>
        <v/>
      </c>
      <c r="H456" s="32" t="n"/>
      <c r="I456" s="21">
        <f>IF(OR($D456="",$F456="",$G456=""),"",$F456*$G456*(1-IFERROR($H456,0)))</f>
        <v/>
      </c>
      <c r="J456" s="21">
        <f>IF(OR($D456="",$F456="",$G456=""),"",($G456-IFERROR(VLOOKUP($D456,'Base produits'!$B$5:$H$91,7,FALSE),0))*$F456*(1-IFERROR($H456,0)))</f>
        <v/>
      </c>
      <c r="K456" s="23" t="n"/>
      <c r="L456" s="29" t="n"/>
    </row>
    <row r="457" ht="23" customHeight="1">
      <c r="A457" s="30" t="n"/>
      <c r="B457" s="23" t="n"/>
      <c r="C457" s="29" t="n"/>
      <c r="D457" s="23" t="n"/>
      <c r="E457" s="31">
        <f>IF($D457="","",IFERROR(VLOOKUP($D457,'Base produits'!$B$5:$F$91,5,FALSE),""))</f>
        <v/>
      </c>
      <c r="F457" s="23" t="n"/>
      <c r="G457" s="21">
        <f>IF($D457="","",IFERROR(IF(VLOOKUP($D457,'Base produits'!$B$5:$J$91,9,FALSE)="","",VLOOKUP($D457,'Base produits'!$B$5:$J$91,9,FALSE)),""))</f>
        <v/>
      </c>
      <c r="H457" s="32" t="n"/>
      <c r="I457" s="21">
        <f>IF(OR($D457="",$F457="",$G457=""),"",$F457*$G457*(1-IFERROR($H457,0)))</f>
        <v/>
      </c>
      <c r="J457" s="21">
        <f>IF(OR($D457="",$F457="",$G457=""),"",($G457-IFERROR(VLOOKUP($D457,'Base produits'!$B$5:$H$91,7,FALSE),0))*$F457*(1-IFERROR($H457,0)))</f>
        <v/>
      </c>
      <c r="K457" s="23" t="n"/>
      <c r="L457" s="29" t="n"/>
    </row>
    <row r="458" ht="23" customHeight="1">
      <c r="A458" s="30" t="n"/>
      <c r="B458" s="23" t="n"/>
      <c r="C458" s="29" t="n"/>
      <c r="D458" s="23" t="n"/>
      <c r="E458" s="31">
        <f>IF($D458="","",IFERROR(VLOOKUP($D458,'Base produits'!$B$5:$F$91,5,FALSE),""))</f>
        <v/>
      </c>
      <c r="F458" s="23" t="n"/>
      <c r="G458" s="21">
        <f>IF($D458="","",IFERROR(IF(VLOOKUP($D458,'Base produits'!$B$5:$J$91,9,FALSE)="","",VLOOKUP($D458,'Base produits'!$B$5:$J$91,9,FALSE)),""))</f>
        <v/>
      </c>
      <c r="H458" s="32" t="n"/>
      <c r="I458" s="21">
        <f>IF(OR($D458="",$F458="",$G458=""),"",$F458*$G458*(1-IFERROR($H458,0)))</f>
        <v/>
      </c>
      <c r="J458" s="21">
        <f>IF(OR($D458="",$F458="",$G458=""),"",($G458-IFERROR(VLOOKUP($D458,'Base produits'!$B$5:$H$91,7,FALSE),0))*$F458*(1-IFERROR($H458,0)))</f>
        <v/>
      </c>
      <c r="K458" s="23" t="n"/>
      <c r="L458" s="29" t="n"/>
    </row>
    <row r="459" ht="23" customHeight="1">
      <c r="A459" s="30" t="n"/>
      <c r="B459" s="23" t="n"/>
      <c r="C459" s="29" t="n"/>
      <c r="D459" s="23" t="n"/>
      <c r="E459" s="31">
        <f>IF($D459="","",IFERROR(VLOOKUP($D459,'Base produits'!$B$5:$F$91,5,FALSE),""))</f>
        <v/>
      </c>
      <c r="F459" s="23" t="n"/>
      <c r="G459" s="21">
        <f>IF($D459="","",IFERROR(IF(VLOOKUP($D459,'Base produits'!$B$5:$J$91,9,FALSE)="","",VLOOKUP($D459,'Base produits'!$B$5:$J$91,9,FALSE)),""))</f>
        <v/>
      </c>
      <c r="H459" s="32" t="n"/>
      <c r="I459" s="21">
        <f>IF(OR($D459="",$F459="",$G459=""),"",$F459*$G459*(1-IFERROR($H459,0)))</f>
        <v/>
      </c>
      <c r="J459" s="21">
        <f>IF(OR($D459="",$F459="",$G459=""),"",($G459-IFERROR(VLOOKUP($D459,'Base produits'!$B$5:$H$91,7,FALSE),0))*$F459*(1-IFERROR($H459,0)))</f>
        <v/>
      </c>
      <c r="K459" s="23" t="n"/>
      <c r="L459" s="29" t="n"/>
    </row>
    <row r="460" ht="23" customHeight="1">
      <c r="A460" s="30" t="n"/>
      <c r="B460" s="23" t="n"/>
      <c r="C460" s="29" t="n"/>
      <c r="D460" s="23" t="n"/>
      <c r="E460" s="31">
        <f>IF($D460="","",IFERROR(VLOOKUP($D460,'Base produits'!$B$5:$F$91,5,FALSE),""))</f>
        <v/>
      </c>
      <c r="F460" s="23" t="n"/>
      <c r="G460" s="21">
        <f>IF($D460="","",IFERROR(IF(VLOOKUP($D460,'Base produits'!$B$5:$J$91,9,FALSE)="","",VLOOKUP($D460,'Base produits'!$B$5:$J$91,9,FALSE)),""))</f>
        <v/>
      </c>
      <c r="H460" s="32" t="n"/>
      <c r="I460" s="21">
        <f>IF(OR($D460="",$F460="",$G460=""),"",$F460*$G460*(1-IFERROR($H460,0)))</f>
        <v/>
      </c>
      <c r="J460" s="21">
        <f>IF(OR($D460="",$F460="",$G460=""),"",($G460-IFERROR(VLOOKUP($D460,'Base produits'!$B$5:$H$91,7,FALSE),0))*$F460*(1-IFERROR($H460,0)))</f>
        <v/>
      </c>
      <c r="K460" s="23" t="n"/>
      <c r="L460" s="29" t="n"/>
    </row>
    <row r="461" ht="23" customHeight="1">
      <c r="A461" s="30" t="n"/>
      <c r="B461" s="23" t="n"/>
      <c r="C461" s="29" t="n"/>
      <c r="D461" s="23" t="n"/>
      <c r="E461" s="31">
        <f>IF($D461="","",IFERROR(VLOOKUP($D461,'Base produits'!$B$5:$F$91,5,FALSE),""))</f>
        <v/>
      </c>
      <c r="F461" s="23" t="n"/>
      <c r="G461" s="21">
        <f>IF($D461="","",IFERROR(IF(VLOOKUP($D461,'Base produits'!$B$5:$J$91,9,FALSE)="","",VLOOKUP($D461,'Base produits'!$B$5:$J$91,9,FALSE)),""))</f>
        <v/>
      </c>
      <c r="H461" s="32" t="n"/>
      <c r="I461" s="21">
        <f>IF(OR($D461="",$F461="",$G461=""),"",$F461*$G461*(1-IFERROR($H461,0)))</f>
        <v/>
      </c>
      <c r="J461" s="21">
        <f>IF(OR($D461="",$F461="",$G461=""),"",($G461-IFERROR(VLOOKUP($D461,'Base produits'!$B$5:$H$91,7,FALSE),0))*$F461*(1-IFERROR($H461,0)))</f>
        <v/>
      </c>
      <c r="K461" s="23" t="n"/>
      <c r="L461" s="29" t="n"/>
    </row>
    <row r="462" ht="23" customHeight="1">
      <c r="A462" s="30" t="n"/>
      <c r="B462" s="23" t="n"/>
      <c r="C462" s="29" t="n"/>
      <c r="D462" s="23" t="n"/>
      <c r="E462" s="31">
        <f>IF($D462="","",IFERROR(VLOOKUP($D462,'Base produits'!$B$5:$F$91,5,FALSE),""))</f>
        <v/>
      </c>
      <c r="F462" s="23" t="n"/>
      <c r="G462" s="21">
        <f>IF($D462="","",IFERROR(IF(VLOOKUP($D462,'Base produits'!$B$5:$J$91,9,FALSE)="","",VLOOKUP($D462,'Base produits'!$B$5:$J$91,9,FALSE)),""))</f>
        <v/>
      </c>
      <c r="H462" s="32" t="n"/>
      <c r="I462" s="21">
        <f>IF(OR($D462="",$F462="",$G462=""),"",$F462*$G462*(1-IFERROR($H462,0)))</f>
        <v/>
      </c>
      <c r="J462" s="21">
        <f>IF(OR($D462="",$F462="",$G462=""),"",($G462-IFERROR(VLOOKUP($D462,'Base produits'!$B$5:$H$91,7,FALSE),0))*$F462*(1-IFERROR($H462,0)))</f>
        <v/>
      </c>
      <c r="K462" s="23" t="n"/>
      <c r="L462" s="29" t="n"/>
    </row>
    <row r="463" ht="23" customHeight="1">
      <c r="A463" s="30" t="n"/>
      <c r="B463" s="23" t="n"/>
      <c r="C463" s="29" t="n"/>
      <c r="D463" s="23" t="n"/>
      <c r="E463" s="31">
        <f>IF($D463="","",IFERROR(VLOOKUP($D463,'Base produits'!$B$5:$F$91,5,FALSE),""))</f>
        <v/>
      </c>
      <c r="F463" s="23" t="n"/>
      <c r="G463" s="21">
        <f>IF($D463="","",IFERROR(IF(VLOOKUP($D463,'Base produits'!$B$5:$J$91,9,FALSE)="","",VLOOKUP($D463,'Base produits'!$B$5:$J$91,9,FALSE)),""))</f>
        <v/>
      </c>
      <c r="H463" s="32" t="n"/>
      <c r="I463" s="21">
        <f>IF(OR($D463="",$F463="",$G463=""),"",$F463*$G463*(1-IFERROR($H463,0)))</f>
        <v/>
      </c>
      <c r="J463" s="21">
        <f>IF(OR($D463="",$F463="",$G463=""),"",($G463-IFERROR(VLOOKUP($D463,'Base produits'!$B$5:$H$91,7,FALSE),0))*$F463*(1-IFERROR($H463,0)))</f>
        <v/>
      </c>
      <c r="K463" s="23" t="n"/>
      <c r="L463" s="29" t="n"/>
    </row>
    <row r="464" ht="23" customHeight="1">
      <c r="A464" s="30" t="n"/>
      <c r="B464" s="23" t="n"/>
      <c r="C464" s="29" t="n"/>
      <c r="D464" s="23" t="n"/>
      <c r="E464" s="31">
        <f>IF($D464="","",IFERROR(VLOOKUP($D464,'Base produits'!$B$5:$F$91,5,FALSE),""))</f>
        <v/>
      </c>
      <c r="F464" s="23" t="n"/>
      <c r="G464" s="21">
        <f>IF($D464="","",IFERROR(IF(VLOOKUP($D464,'Base produits'!$B$5:$J$91,9,FALSE)="","",VLOOKUP($D464,'Base produits'!$B$5:$J$91,9,FALSE)),""))</f>
        <v/>
      </c>
      <c r="H464" s="32" t="n"/>
      <c r="I464" s="21">
        <f>IF(OR($D464="",$F464="",$G464=""),"",$F464*$G464*(1-IFERROR($H464,0)))</f>
        <v/>
      </c>
      <c r="J464" s="21">
        <f>IF(OR($D464="",$F464="",$G464=""),"",($G464-IFERROR(VLOOKUP($D464,'Base produits'!$B$5:$H$91,7,FALSE),0))*$F464*(1-IFERROR($H464,0)))</f>
        <v/>
      </c>
      <c r="K464" s="23" t="n"/>
      <c r="L464" s="29" t="n"/>
    </row>
    <row r="465" ht="23" customHeight="1">
      <c r="A465" s="30" t="n"/>
      <c r="B465" s="23" t="n"/>
      <c r="C465" s="29" t="n"/>
      <c r="D465" s="23" t="n"/>
      <c r="E465" s="31">
        <f>IF($D465="","",IFERROR(VLOOKUP($D465,'Base produits'!$B$5:$F$91,5,FALSE),""))</f>
        <v/>
      </c>
      <c r="F465" s="23" t="n"/>
      <c r="G465" s="21">
        <f>IF($D465="","",IFERROR(IF(VLOOKUP($D465,'Base produits'!$B$5:$J$91,9,FALSE)="","",VLOOKUP($D465,'Base produits'!$B$5:$J$91,9,FALSE)),""))</f>
        <v/>
      </c>
      <c r="H465" s="32" t="n"/>
      <c r="I465" s="21">
        <f>IF(OR($D465="",$F465="",$G465=""),"",$F465*$G465*(1-IFERROR($H465,0)))</f>
        <v/>
      </c>
      <c r="J465" s="21">
        <f>IF(OR($D465="",$F465="",$G465=""),"",($G465-IFERROR(VLOOKUP($D465,'Base produits'!$B$5:$H$91,7,FALSE),0))*$F465*(1-IFERROR($H465,0)))</f>
        <v/>
      </c>
      <c r="K465" s="23" t="n"/>
      <c r="L465" s="29" t="n"/>
    </row>
    <row r="466" ht="23" customHeight="1">
      <c r="A466" s="30" t="n"/>
      <c r="B466" s="23" t="n"/>
      <c r="C466" s="29" t="n"/>
      <c r="D466" s="23" t="n"/>
      <c r="E466" s="31">
        <f>IF($D466="","",IFERROR(VLOOKUP($D466,'Base produits'!$B$5:$F$91,5,FALSE),""))</f>
        <v/>
      </c>
      <c r="F466" s="23" t="n"/>
      <c r="G466" s="21">
        <f>IF($D466="","",IFERROR(IF(VLOOKUP($D466,'Base produits'!$B$5:$J$91,9,FALSE)="","",VLOOKUP($D466,'Base produits'!$B$5:$J$91,9,FALSE)),""))</f>
        <v/>
      </c>
      <c r="H466" s="32" t="n"/>
      <c r="I466" s="21">
        <f>IF(OR($D466="",$F466="",$G466=""),"",$F466*$G466*(1-IFERROR($H466,0)))</f>
        <v/>
      </c>
      <c r="J466" s="21">
        <f>IF(OR($D466="",$F466="",$G466=""),"",($G466-IFERROR(VLOOKUP($D466,'Base produits'!$B$5:$H$91,7,FALSE),0))*$F466*(1-IFERROR($H466,0)))</f>
        <v/>
      </c>
      <c r="K466" s="23" t="n"/>
      <c r="L466" s="29" t="n"/>
    </row>
    <row r="467" ht="23" customHeight="1">
      <c r="A467" s="30" t="n"/>
      <c r="B467" s="23" t="n"/>
      <c r="C467" s="29" t="n"/>
      <c r="D467" s="23" t="n"/>
      <c r="E467" s="31">
        <f>IF($D467="","",IFERROR(VLOOKUP($D467,'Base produits'!$B$5:$F$91,5,FALSE),""))</f>
        <v/>
      </c>
      <c r="F467" s="23" t="n"/>
      <c r="G467" s="21">
        <f>IF($D467="","",IFERROR(IF(VLOOKUP($D467,'Base produits'!$B$5:$J$91,9,FALSE)="","",VLOOKUP($D467,'Base produits'!$B$5:$J$91,9,FALSE)),""))</f>
        <v/>
      </c>
      <c r="H467" s="32" t="n"/>
      <c r="I467" s="21">
        <f>IF(OR($D467="",$F467="",$G467=""),"",$F467*$G467*(1-IFERROR($H467,0)))</f>
        <v/>
      </c>
      <c r="J467" s="21">
        <f>IF(OR($D467="",$F467="",$G467=""),"",($G467-IFERROR(VLOOKUP($D467,'Base produits'!$B$5:$H$91,7,FALSE),0))*$F467*(1-IFERROR($H467,0)))</f>
        <v/>
      </c>
      <c r="K467" s="23" t="n"/>
      <c r="L467" s="29" t="n"/>
    </row>
    <row r="468" ht="23" customHeight="1">
      <c r="A468" s="30" t="n"/>
      <c r="B468" s="23" t="n"/>
      <c r="C468" s="29" t="n"/>
      <c r="D468" s="23" t="n"/>
      <c r="E468" s="31">
        <f>IF($D468="","",IFERROR(VLOOKUP($D468,'Base produits'!$B$5:$F$91,5,FALSE),""))</f>
        <v/>
      </c>
      <c r="F468" s="23" t="n"/>
      <c r="G468" s="21">
        <f>IF($D468="","",IFERROR(IF(VLOOKUP($D468,'Base produits'!$B$5:$J$91,9,FALSE)="","",VLOOKUP($D468,'Base produits'!$B$5:$J$91,9,FALSE)),""))</f>
        <v/>
      </c>
      <c r="H468" s="32" t="n"/>
      <c r="I468" s="21">
        <f>IF(OR($D468="",$F468="",$G468=""),"",$F468*$G468*(1-IFERROR($H468,0)))</f>
        <v/>
      </c>
      <c r="J468" s="21">
        <f>IF(OR($D468="",$F468="",$G468=""),"",($G468-IFERROR(VLOOKUP($D468,'Base produits'!$B$5:$H$91,7,FALSE),0))*$F468*(1-IFERROR($H468,0)))</f>
        <v/>
      </c>
      <c r="K468" s="23" t="n"/>
      <c r="L468" s="29" t="n"/>
    </row>
    <row r="469" ht="23" customHeight="1">
      <c r="A469" s="30" t="n"/>
      <c r="B469" s="23" t="n"/>
      <c r="C469" s="29" t="n"/>
      <c r="D469" s="23" t="n"/>
      <c r="E469" s="31">
        <f>IF($D469="","",IFERROR(VLOOKUP($D469,'Base produits'!$B$5:$F$91,5,FALSE),""))</f>
        <v/>
      </c>
      <c r="F469" s="23" t="n"/>
      <c r="G469" s="21">
        <f>IF($D469="","",IFERROR(IF(VLOOKUP($D469,'Base produits'!$B$5:$J$91,9,FALSE)="","",VLOOKUP($D469,'Base produits'!$B$5:$J$91,9,FALSE)),""))</f>
        <v/>
      </c>
      <c r="H469" s="32" t="n"/>
      <c r="I469" s="21">
        <f>IF(OR($D469="",$F469="",$G469=""),"",$F469*$G469*(1-IFERROR($H469,0)))</f>
        <v/>
      </c>
      <c r="J469" s="21">
        <f>IF(OR($D469="",$F469="",$G469=""),"",($G469-IFERROR(VLOOKUP($D469,'Base produits'!$B$5:$H$91,7,FALSE),0))*$F469*(1-IFERROR($H469,0)))</f>
        <v/>
      </c>
      <c r="K469" s="23" t="n"/>
      <c r="L469" s="29" t="n"/>
    </row>
    <row r="470" ht="23" customHeight="1">
      <c r="A470" s="30" t="n"/>
      <c r="B470" s="23" t="n"/>
      <c r="C470" s="29" t="n"/>
      <c r="D470" s="23" t="n"/>
      <c r="E470" s="31">
        <f>IF($D470="","",IFERROR(VLOOKUP($D470,'Base produits'!$B$5:$F$91,5,FALSE),""))</f>
        <v/>
      </c>
      <c r="F470" s="23" t="n"/>
      <c r="G470" s="21">
        <f>IF($D470="","",IFERROR(IF(VLOOKUP($D470,'Base produits'!$B$5:$J$91,9,FALSE)="","",VLOOKUP($D470,'Base produits'!$B$5:$J$91,9,FALSE)),""))</f>
        <v/>
      </c>
      <c r="H470" s="32" t="n"/>
      <c r="I470" s="21">
        <f>IF(OR($D470="",$F470="",$G470=""),"",$F470*$G470*(1-IFERROR($H470,0)))</f>
        <v/>
      </c>
      <c r="J470" s="21">
        <f>IF(OR($D470="",$F470="",$G470=""),"",($G470-IFERROR(VLOOKUP($D470,'Base produits'!$B$5:$H$91,7,FALSE),0))*$F470*(1-IFERROR($H470,0)))</f>
        <v/>
      </c>
      <c r="K470" s="23" t="n"/>
      <c r="L470" s="29" t="n"/>
    </row>
    <row r="471" ht="23" customHeight="1">
      <c r="A471" s="30" t="n"/>
      <c r="B471" s="23" t="n"/>
      <c r="C471" s="29" t="n"/>
      <c r="D471" s="23" t="n"/>
      <c r="E471" s="31">
        <f>IF($D471="","",IFERROR(VLOOKUP($D471,'Base produits'!$B$5:$F$91,5,FALSE),""))</f>
        <v/>
      </c>
      <c r="F471" s="23" t="n"/>
      <c r="G471" s="21">
        <f>IF($D471="","",IFERROR(IF(VLOOKUP($D471,'Base produits'!$B$5:$J$91,9,FALSE)="","",VLOOKUP($D471,'Base produits'!$B$5:$J$91,9,FALSE)),""))</f>
        <v/>
      </c>
      <c r="H471" s="32" t="n"/>
      <c r="I471" s="21">
        <f>IF(OR($D471="",$F471="",$G471=""),"",$F471*$G471*(1-IFERROR($H471,0)))</f>
        <v/>
      </c>
      <c r="J471" s="21">
        <f>IF(OR($D471="",$F471="",$G471=""),"",($G471-IFERROR(VLOOKUP($D471,'Base produits'!$B$5:$H$91,7,FALSE),0))*$F471*(1-IFERROR($H471,0)))</f>
        <v/>
      </c>
      <c r="K471" s="23" t="n"/>
      <c r="L471" s="29" t="n"/>
    </row>
    <row r="472" ht="23" customHeight="1">
      <c r="A472" s="30" t="n"/>
      <c r="B472" s="23" t="n"/>
      <c r="C472" s="29" t="n"/>
      <c r="D472" s="23" t="n"/>
      <c r="E472" s="31">
        <f>IF($D472="","",IFERROR(VLOOKUP($D472,'Base produits'!$B$5:$F$91,5,FALSE),""))</f>
        <v/>
      </c>
      <c r="F472" s="23" t="n"/>
      <c r="G472" s="21">
        <f>IF($D472="","",IFERROR(IF(VLOOKUP($D472,'Base produits'!$B$5:$J$91,9,FALSE)="","",VLOOKUP($D472,'Base produits'!$B$5:$J$91,9,FALSE)),""))</f>
        <v/>
      </c>
      <c r="H472" s="32" t="n"/>
      <c r="I472" s="21">
        <f>IF(OR($D472="",$F472="",$G472=""),"",$F472*$G472*(1-IFERROR($H472,0)))</f>
        <v/>
      </c>
      <c r="J472" s="21">
        <f>IF(OR($D472="",$F472="",$G472=""),"",($G472-IFERROR(VLOOKUP($D472,'Base produits'!$B$5:$H$91,7,FALSE),0))*$F472*(1-IFERROR($H472,0)))</f>
        <v/>
      </c>
      <c r="K472" s="23" t="n"/>
      <c r="L472" s="29" t="n"/>
    </row>
    <row r="473" ht="23" customHeight="1">
      <c r="A473" s="30" t="n"/>
      <c r="B473" s="23" t="n"/>
      <c r="C473" s="29" t="n"/>
      <c r="D473" s="23" t="n"/>
      <c r="E473" s="31">
        <f>IF($D473="","",IFERROR(VLOOKUP($D473,'Base produits'!$B$5:$F$91,5,FALSE),""))</f>
        <v/>
      </c>
      <c r="F473" s="23" t="n"/>
      <c r="G473" s="21">
        <f>IF($D473="","",IFERROR(IF(VLOOKUP($D473,'Base produits'!$B$5:$J$91,9,FALSE)="","",VLOOKUP($D473,'Base produits'!$B$5:$J$91,9,FALSE)),""))</f>
        <v/>
      </c>
      <c r="H473" s="32" t="n"/>
      <c r="I473" s="21">
        <f>IF(OR($D473="",$F473="",$G473=""),"",$F473*$G473*(1-IFERROR($H473,0)))</f>
        <v/>
      </c>
      <c r="J473" s="21">
        <f>IF(OR($D473="",$F473="",$G473=""),"",($G473-IFERROR(VLOOKUP($D473,'Base produits'!$B$5:$H$91,7,FALSE),0))*$F473*(1-IFERROR($H473,0)))</f>
        <v/>
      </c>
      <c r="K473" s="23" t="n"/>
      <c r="L473" s="29" t="n"/>
    </row>
    <row r="474" ht="23" customHeight="1">
      <c r="A474" s="30" t="n"/>
      <c r="B474" s="23" t="n"/>
      <c r="C474" s="29" t="n"/>
      <c r="D474" s="23" t="n"/>
      <c r="E474" s="31">
        <f>IF($D474="","",IFERROR(VLOOKUP($D474,'Base produits'!$B$5:$F$91,5,FALSE),""))</f>
        <v/>
      </c>
      <c r="F474" s="23" t="n"/>
      <c r="G474" s="21">
        <f>IF($D474="","",IFERROR(IF(VLOOKUP($D474,'Base produits'!$B$5:$J$91,9,FALSE)="","",VLOOKUP($D474,'Base produits'!$B$5:$J$91,9,FALSE)),""))</f>
        <v/>
      </c>
      <c r="H474" s="32" t="n"/>
      <c r="I474" s="21">
        <f>IF(OR($D474="",$F474="",$G474=""),"",$F474*$G474*(1-IFERROR($H474,0)))</f>
        <v/>
      </c>
      <c r="J474" s="21">
        <f>IF(OR($D474="",$F474="",$G474=""),"",($G474-IFERROR(VLOOKUP($D474,'Base produits'!$B$5:$H$91,7,FALSE),0))*$F474*(1-IFERROR($H474,0)))</f>
        <v/>
      </c>
      <c r="K474" s="23" t="n"/>
      <c r="L474" s="29" t="n"/>
    </row>
    <row r="475" ht="23" customHeight="1">
      <c r="A475" s="30" t="n"/>
      <c r="B475" s="23" t="n"/>
      <c r="C475" s="29" t="n"/>
      <c r="D475" s="23" t="n"/>
      <c r="E475" s="31">
        <f>IF($D475="","",IFERROR(VLOOKUP($D475,'Base produits'!$B$5:$F$91,5,FALSE),""))</f>
        <v/>
      </c>
      <c r="F475" s="23" t="n"/>
      <c r="G475" s="21">
        <f>IF($D475="","",IFERROR(IF(VLOOKUP($D475,'Base produits'!$B$5:$J$91,9,FALSE)="","",VLOOKUP($D475,'Base produits'!$B$5:$J$91,9,FALSE)),""))</f>
        <v/>
      </c>
      <c r="H475" s="32" t="n"/>
      <c r="I475" s="21">
        <f>IF(OR($D475="",$F475="",$G475=""),"",$F475*$G475*(1-IFERROR($H475,0)))</f>
        <v/>
      </c>
      <c r="J475" s="21">
        <f>IF(OR($D475="",$F475="",$G475=""),"",($G475-IFERROR(VLOOKUP($D475,'Base produits'!$B$5:$H$91,7,FALSE),0))*$F475*(1-IFERROR($H475,0)))</f>
        <v/>
      </c>
      <c r="K475" s="23" t="n"/>
      <c r="L475" s="29" t="n"/>
    </row>
    <row r="476" ht="23" customHeight="1">
      <c r="A476" s="30" t="n"/>
      <c r="B476" s="23" t="n"/>
      <c r="C476" s="29" t="n"/>
      <c r="D476" s="23" t="n"/>
      <c r="E476" s="31">
        <f>IF($D476="","",IFERROR(VLOOKUP($D476,'Base produits'!$B$5:$F$91,5,FALSE),""))</f>
        <v/>
      </c>
      <c r="F476" s="23" t="n"/>
      <c r="G476" s="21">
        <f>IF($D476="","",IFERROR(IF(VLOOKUP($D476,'Base produits'!$B$5:$J$91,9,FALSE)="","",VLOOKUP($D476,'Base produits'!$B$5:$J$91,9,FALSE)),""))</f>
        <v/>
      </c>
      <c r="H476" s="32" t="n"/>
      <c r="I476" s="21">
        <f>IF(OR($D476="",$F476="",$G476=""),"",$F476*$G476*(1-IFERROR($H476,0)))</f>
        <v/>
      </c>
      <c r="J476" s="21">
        <f>IF(OR($D476="",$F476="",$G476=""),"",($G476-IFERROR(VLOOKUP($D476,'Base produits'!$B$5:$H$91,7,FALSE),0))*$F476*(1-IFERROR($H476,0)))</f>
        <v/>
      </c>
      <c r="K476" s="23" t="n"/>
      <c r="L476" s="29" t="n"/>
    </row>
    <row r="477" ht="23" customHeight="1">
      <c r="A477" s="30" t="n"/>
      <c r="B477" s="23" t="n"/>
      <c r="C477" s="29" t="n"/>
      <c r="D477" s="23" t="n"/>
      <c r="E477" s="31">
        <f>IF($D477="","",IFERROR(VLOOKUP($D477,'Base produits'!$B$5:$F$91,5,FALSE),""))</f>
        <v/>
      </c>
      <c r="F477" s="23" t="n"/>
      <c r="G477" s="21">
        <f>IF($D477="","",IFERROR(IF(VLOOKUP($D477,'Base produits'!$B$5:$J$91,9,FALSE)="","",VLOOKUP($D477,'Base produits'!$B$5:$J$91,9,FALSE)),""))</f>
        <v/>
      </c>
      <c r="H477" s="32" t="n"/>
      <c r="I477" s="21">
        <f>IF(OR($D477="",$F477="",$G477=""),"",$F477*$G477*(1-IFERROR($H477,0)))</f>
        <v/>
      </c>
      <c r="J477" s="21">
        <f>IF(OR($D477="",$F477="",$G477=""),"",($G477-IFERROR(VLOOKUP($D477,'Base produits'!$B$5:$H$91,7,FALSE),0))*$F477*(1-IFERROR($H477,0)))</f>
        <v/>
      </c>
      <c r="K477" s="23" t="n"/>
      <c r="L477" s="29" t="n"/>
    </row>
    <row r="478" ht="23" customHeight="1">
      <c r="A478" s="30" t="n"/>
      <c r="B478" s="23" t="n"/>
      <c r="C478" s="29" t="n"/>
      <c r="D478" s="23" t="n"/>
      <c r="E478" s="31">
        <f>IF($D478="","",IFERROR(VLOOKUP($D478,'Base produits'!$B$5:$F$91,5,FALSE),""))</f>
        <v/>
      </c>
      <c r="F478" s="23" t="n"/>
      <c r="G478" s="21">
        <f>IF($D478="","",IFERROR(IF(VLOOKUP($D478,'Base produits'!$B$5:$J$91,9,FALSE)="","",VLOOKUP($D478,'Base produits'!$B$5:$J$91,9,FALSE)),""))</f>
        <v/>
      </c>
      <c r="H478" s="32" t="n"/>
      <c r="I478" s="21">
        <f>IF(OR($D478="",$F478="",$G478=""),"",$F478*$G478*(1-IFERROR($H478,0)))</f>
        <v/>
      </c>
      <c r="J478" s="21">
        <f>IF(OR($D478="",$F478="",$G478=""),"",($G478-IFERROR(VLOOKUP($D478,'Base produits'!$B$5:$H$91,7,FALSE),0))*$F478*(1-IFERROR($H478,0)))</f>
        <v/>
      </c>
      <c r="K478" s="23" t="n"/>
      <c r="L478" s="29" t="n"/>
    </row>
    <row r="479" ht="23" customHeight="1">
      <c r="A479" s="30" t="n"/>
      <c r="B479" s="23" t="n"/>
      <c r="C479" s="29" t="n"/>
      <c r="D479" s="23" t="n"/>
      <c r="E479" s="31">
        <f>IF($D479="","",IFERROR(VLOOKUP($D479,'Base produits'!$B$5:$F$91,5,FALSE),""))</f>
        <v/>
      </c>
      <c r="F479" s="23" t="n"/>
      <c r="G479" s="21">
        <f>IF($D479="","",IFERROR(IF(VLOOKUP($D479,'Base produits'!$B$5:$J$91,9,FALSE)="","",VLOOKUP($D479,'Base produits'!$B$5:$J$91,9,FALSE)),""))</f>
        <v/>
      </c>
      <c r="H479" s="32" t="n"/>
      <c r="I479" s="21">
        <f>IF(OR($D479="",$F479="",$G479=""),"",$F479*$G479*(1-IFERROR($H479,0)))</f>
        <v/>
      </c>
      <c r="J479" s="21">
        <f>IF(OR($D479="",$F479="",$G479=""),"",($G479-IFERROR(VLOOKUP($D479,'Base produits'!$B$5:$H$91,7,FALSE),0))*$F479*(1-IFERROR($H479,0)))</f>
        <v/>
      </c>
      <c r="K479" s="23" t="n"/>
      <c r="L479" s="29" t="n"/>
    </row>
    <row r="480" ht="23" customHeight="1">
      <c r="A480" s="30" t="n"/>
      <c r="B480" s="23" t="n"/>
      <c r="C480" s="29" t="n"/>
      <c r="D480" s="23" t="n"/>
      <c r="E480" s="31">
        <f>IF($D480="","",IFERROR(VLOOKUP($D480,'Base produits'!$B$5:$F$91,5,FALSE),""))</f>
        <v/>
      </c>
      <c r="F480" s="23" t="n"/>
      <c r="G480" s="21">
        <f>IF($D480="","",IFERROR(IF(VLOOKUP($D480,'Base produits'!$B$5:$J$91,9,FALSE)="","",VLOOKUP($D480,'Base produits'!$B$5:$J$91,9,FALSE)),""))</f>
        <v/>
      </c>
      <c r="H480" s="32" t="n"/>
      <c r="I480" s="21">
        <f>IF(OR($D480="",$F480="",$G480=""),"",$F480*$G480*(1-IFERROR($H480,0)))</f>
        <v/>
      </c>
      <c r="J480" s="21">
        <f>IF(OR($D480="",$F480="",$G480=""),"",($G480-IFERROR(VLOOKUP($D480,'Base produits'!$B$5:$H$91,7,FALSE),0))*$F480*(1-IFERROR($H480,0)))</f>
        <v/>
      </c>
      <c r="K480" s="23" t="n"/>
      <c r="L480" s="29" t="n"/>
    </row>
    <row r="481" ht="23" customHeight="1">
      <c r="A481" s="30" t="n"/>
      <c r="B481" s="23" t="n"/>
      <c r="C481" s="29" t="n"/>
      <c r="D481" s="23" t="n"/>
      <c r="E481" s="31">
        <f>IF($D481="","",IFERROR(VLOOKUP($D481,'Base produits'!$B$5:$F$91,5,FALSE),""))</f>
        <v/>
      </c>
      <c r="F481" s="23" t="n"/>
      <c r="G481" s="21">
        <f>IF($D481="","",IFERROR(IF(VLOOKUP($D481,'Base produits'!$B$5:$J$91,9,FALSE)="","",VLOOKUP($D481,'Base produits'!$B$5:$J$91,9,FALSE)),""))</f>
        <v/>
      </c>
      <c r="H481" s="32" t="n"/>
      <c r="I481" s="21">
        <f>IF(OR($D481="",$F481="",$G481=""),"",$F481*$G481*(1-IFERROR($H481,0)))</f>
        <v/>
      </c>
      <c r="J481" s="21">
        <f>IF(OR($D481="",$F481="",$G481=""),"",($G481-IFERROR(VLOOKUP($D481,'Base produits'!$B$5:$H$91,7,FALSE),0))*$F481*(1-IFERROR($H481,0)))</f>
        <v/>
      </c>
      <c r="K481" s="23" t="n"/>
      <c r="L481" s="29" t="n"/>
    </row>
    <row r="482" ht="23" customHeight="1">
      <c r="A482" s="30" t="n"/>
      <c r="B482" s="23" t="n"/>
      <c r="C482" s="29" t="n"/>
      <c r="D482" s="23" t="n"/>
      <c r="E482" s="31">
        <f>IF($D482="","",IFERROR(VLOOKUP($D482,'Base produits'!$B$5:$F$91,5,FALSE),""))</f>
        <v/>
      </c>
      <c r="F482" s="23" t="n"/>
      <c r="G482" s="21">
        <f>IF($D482="","",IFERROR(IF(VLOOKUP($D482,'Base produits'!$B$5:$J$91,9,FALSE)="","",VLOOKUP($D482,'Base produits'!$B$5:$J$91,9,FALSE)),""))</f>
        <v/>
      </c>
      <c r="H482" s="32" t="n"/>
      <c r="I482" s="21">
        <f>IF(OR($D482="",$F482="",$G482=""),"",$F482*$G482*(1-IFERROR($H482,0)))</f>
        <v/>
      </c>
      <c r="J482" s="21">
        <f>IF(OR($D482="",$F482="",$G482=""),"",($G482-IFERROR(VLOOKUP($D482,'Base produits'!$B$5:$H$91,7,FALSE),0))*$F482*(1-IFERROR($H482,0)))</f>
        <v/>
      </c>
      <c r="K482" s="23" t="n"/>
      <c r="L482" s="29" t="n"/>
    </row>
    <row r="483" ht="23" customHeight="1">
      <c r="A483" s="30" t="n"/>
      <c r="B483" s="23" t="n"/>
      <c r="C483" s="29" t="n"/>
      <c r="D483" s="23" t="n"/>
      <c r="E483" s="31">
        <f>IF($D483="","",IFERROR(VLOOKUP($D483,'Base produits'!$B$5:$F$91,5,FALSE),""))</f>
        <v/>
      </c>
      <c r="F483" s="23" t="n"/>
      <c r="G483" s="21">
        <f>IF($D483="","",IFERROR(IF(VLOOKUP($D483,'Base produits'!$B$5:$J$91,9,FALSE)="","",VLOOKUP($D483,'Base produits'!$B$5:$J$91,9,FALSE)),""))</f>
        <v/>
      </c>
      <c r="H483" s="32" t="n"/>
      <c r="I483" s="21">
        <f>IF(OR($D483="",$F483="",$G483=""),"",$F483*$G483*(1-IFERROR($H483,0)))</f>
        <v/>
      </c>
      <c r="J483" s="21">
        <f>IF(OR($D483="",$F483="",$G483=""),"",($G483-IFERROR(VLOOKUP($D483,'Base produits'!$B$5:$H$91,7,FALSE),0))*$F483*(1-IFERROR($H483,0)))</f>
        <v/>
      </c>
      <c r="K483" s="23" t="n"/>
      <c r="L483" s="29" t="n"/>
    </row>
    <row r="484" ht="23" customHeight="1">
      <c r="A484" s="30" t="n"/>
      <c r="B484" s="23" t="n"/>
      <c r="C484" s="29" t="n"/>
      <c r="D484" s="23" t="n"/>
      <c r="E484" s="31">
        <f>IF($D484="","",IFERROR(VLOOKUP($D484,'Base produits'!$B$5:$F$91,5,FALSE),""))</f>
        <v/>
      </c>
      <c r="F484" s="23" t="n"/>
      <c r="G484" s="21">
        <f>IF($D484="","",IFERROR(IF(VLOOKUP($D484,'Base produits'!$B$5:$J$91,9,FALSE)="","",VLOOKUP($D484,'Base produits'!$B$5:$J$91,9,FALSE)),""))</f>
        <v/>
      </c>
      <c r="H484" s="32" t="n"/>
      <c r="I484" s="21">
        <f>IF(OR($D484="",$F484="",$G484=""),"",$F484*$G484*(1-IFERROR($H484,0)))</f>
        <v/>
      </c>
      <c r="J484" s="21">
        <f>IF(OR($D484="",$F484="",$G484=""),"",($G484-IFERROR(VLOOKUP($D484,'Base produits'!$B$5:$H$91,7,FALSE),0))*$F484*(1-IFERROR($H484,0)))</f>
        <v/>
      </c>
      <c r="K484" s="23" t="n"/>
      <c r="L484" s="29" t="n"/>
    </row>
    <row r="485" ht="23" customHeight="1">
      <c r="A485" s="30" t="n"/>
      <c r="B485" s="23" t="n"/>
      <c r="C485" s="29" t="n"/>
      <c r="D485" s="23" t="n"/>
      <c r="E485" s="31">
        <f>IF($D485="","",IFERROR(VLOOKUP($D485,'Base produits'!$B$5:$F$91,5,FALSE),""))</f>
        <v/>
      </c>
      <c r="F485" s="23" t="n"/>
      <c r="G485" s="21">
        <f>IF($D485="","",IFERROR(IF(VLOOKUP($D485,'Base produits'!$B$5:$J$91,9,FALSE)="","",VLOOKUP($D485,'Base produits'!$B$5:$J$91,9,FALSE)),""))</f>
        <v/>
      </c>
      <c r="H485" s="32" t="n"/>
      <c r="I485" s="21">
        <f>IF(OR($D485="",$F485="",$G485=""),"",$F485*$G485*(1-IFERROR($H485,0)))</f>
        <v/>
      </c>
      <c r="J485" s="21">
        <f>IF(OR($D485="",$F485="",$G485=""),"",($G485-IFERROR(VLOOKUP($D485,'Base produits'!$B$5:$H$91,7,FALSE),0))*$F485*(1-IFERROR($H485,0)))</f>
        <v/>
      </c>
      <c r="K485" s="23" t="n"/>
      <c r="L485" s="29" t="n"/>
    </row>
    <row r="486" ht="23" customHeight="1">
      <c r="A486" s="30" t="n"/>
      <c r="B486" s="23" t="n"/>
      <c r="C486" s="29" t="n"/>
      <c r="D486" s="23" t="n"/>
      <c r="E486" s="31">
        <f>IF($D486="","",IFERROR(VLOOKUP($D486,'Base produits'!$B$5:$F$91,5,FALSE),""))</f>
        <v/>
      </c>
      <c r="F486" s="23" t="n"/>
      <c r="G486" s="21">
        <f>IF($D486="","",IFERROR(IF(VLOOKUP($D486,'Base produits'!$B$5:$J$91,9,FALSE)="","",VLOOKUP($D486,'Base produits'!$B$5:$J$91,9,FALSE)),""))</f>
        <v/>
      </c>
      <c r="H486" s="32" t="n"/>
      <c r="I486" s="21">
        <f>IF(OR($D486="",$F486="",$G486=""),"",$F486*$G486*(1-IFERROR($H486,0)))</f>
        <v/>
      </c>
      <c r="J486" s="21">
        <f>IF(OR($D486="",$F486="",$G486=""),"",($G486-IFERROR(VLOOKUP($D486,'Base produits'!$B$5:$H$91,7,FALSE),0))*$F486*(1-IFERROR($H486,0)))</f>
        <v/>
      </c>
      <c r="K486" s="23" t="n"/>
      <c r="L486" s="29" t="n"/>
    </row>
    <row r="487" ht="23" customHeight="1">
      <c r="A487" s="30" t="n"/>
      <c r="B487" s="23" t="n"/>
      <c r="C487" s="29" t="n"/>
      <c r="D487" s="23" t="n"/>
      <c r="E487" s="31">
        <f>IF($D487="","",IFERROR(VLOOKUP($D487,'Base produits'!$B$5:$F$91,5,FALSE),""))</f>
        <v/>
      </c>
      <c r="F487" s="23" t="n"/>
      <c r="G487" s="21">
        <f>IF($D487="","",IFERROR(IF(VLOOKUP($D487,'Base produits'!$B$5:$J$91,9,FALSE)="","",VLOOKUP($D487,'Base produits'!$B$5:$J$91,9,FALSE)),""))</f>
        <v/>
      </c>
      <c r="H487" s="32" t="n"/>
      <c r="I487" s="21">
        <f>IF(OR($D487="",$F487="",$G487=""),"",$F487*$G487*(1-IFERROR($H487,0)))</f>
        <v/>
      </c>
      <c r="J487" s="21">
        <f>IF(OR($D487="",$F487="",$G487=""),"",($G487-IFERROR(VLOOKUP($D487,'Base produits'!$B$5:$H$91,7,FALSE),0))*$F487*(1-IFERROR($H487,0)))</f>
        <v/>
      </c>
      <c r="K487" s="23" t="n"/>
      <c r="L487" s="29" t="n"/>
    </row>
    <row r="488" ht="23" customHeight="1">
      <c r="A488" s="30" t="n"/>
      <c r="B488" s="23" t="n"/>
      <c r="C488" s="29" t="n"/>
      <c r="D488" s="23" t="n"/>
      <c r="E488" s="31">
        <f>IF($D488="","",IFERROR(VLOOKUP($D488,'Base produits'!$B$5:$F$91,5,FALSE),""))</f>
        <v/>
      </c>
      <c r="F488" s="23" t="n"/>
      <c r="G488" s="21">
        <f>IF($D488="","",IFERROR(IF(VLOOKUP($D488,'Base produits'!$B$5:$J$91,9,FALSE)="","",VLOOKUP($D488,'Base produits'!$B$5:$J$91,9,FALSE)),""))</f>
        <v/>
      </c>
      <c r="H488" s="32" t="n"/>
      <c r="I488" s="21">
        <f>IF(OR($D488="",$F488="",$G488=""),"",$F488*$G488*(1-IFERROR($H488,0)))</f>
        <v/>
      </c>
      <c r="J488" s="21">
        <f>IF(OR($D488="",$F488="",$G488=""),"",($G488-IFERROR(VLOOKUP($D488,'Base produits'!$B$5:$H$91,7,FALSE),0))*$F488*(1-IFERROR($H488,0)))</f>
        <v/>
      </c>
      <c r="K488" s="23" t="n"/>
      <c r="L488" s="29" t="n"/>
    </row>
    <row r="489" ht="23" customHeight="1">
      <c r="A489" s="30" t="n"/>
      <c r="B489" s="23" t="n"/>
      <c r="C489" s="29" t="n"/>
      <c r="D489" s="23" t="n"/>
      <c r="E489" s="31">
        <f>IF($D489="","",IFERROR(VLOOKUP($D489,'Base produits'!$B$5:$F$91,5,FALSE),""))</f>
        <v/>
      </c>
      <c r="F489" s="23" t="n"/>
      <c r="G489" s="21">
        <f>IF($D489="","",IFERROR(IF(VLOOKUP($D489,'Base produits'!$B$5:$J$91,9,FALSE)="","",VLOOKUP($D489,'Base produits'!$B$5:$J$91,9,FALSE)),""))</f>
        <v/>
      </c>
      <c r="H489" s="32" t="n"/>
      <c r="I489" s="21">
        <f>IF(OR($D489="",$F489="",$G489=""),"",$F489*$G489*(1-IFERROR($H489,0)))</f>
        <v/>
      </c>
      <c r="J489" s="21">
        <f>IF(OR($D489="",$F489="",$G489=""),"",($G489-IFERROR(VLOOKUP($D489,'Base produits'!$B$5:$H$91,7,FALSE),0))*$F489*(1-IFERROR($H489,0)))</f>
        <v/>
      </c>
      <c r="K489" s="23" t="n"/>
      <c r="L489" s="29" t="n"/>
    </row>
    <row r="490" ht="23" customHeight="1">
      <c r="A490" s="30" t="n"/>
      <c r="B490" s="23" t="n"/>
      <c r="C490" s="29" t="n"/>
      <c r="D490" s="23" t="n"/>
      <c r="E490" s="31">
        <f>IF($D490="","",IFERROR(VLOOKUP($D490,'Base produits'!$B$5:$F$91,5,FALSE),""))</f>
        <v/>
      </c>
      <c r="F490" s="23" t="n"/>
      <c r="G490" s="21">
        <f>IF($D490="","",IFERROR(IF(VLOOKUP($D490,'Base produits'!$B$5:$J$91,9,FALSE)="","",VLOOKUP($D490,'Base produits'!$B$5:$J$91,9,FALSE)),""))</f>
        <v/>
      </c>
      <c r="H490" s="32" t="n"/>
      <c r="I490" s="21">
        <f>IF(OR($D490="",$F490="",$G490=""),"",$F490*$G490*(1-IFERROR($H490,0)))</f>
        <v/>
      </c>
      <c r="J490" s="21">
        <f>IF(OR($D490="",$F490="",$G490=""),"",($G490-IFERROR(VLOOKUP($D490,'Base produits'!$B$5:$H$91,7,FALSE),0))*$F490*(1-IFERROR($H490,0)))</f>
        <v/>
      </c>
      <c r="K490" s="23" t="n"/>
      <c r="L490" s="29" t="n"/>
    </row>
    <row r="491" ht="23" customHeight="1">
      <c r="A491" s="30" t="n"/>
      <c r="B491" s="23" t="n"/>
      <c r="C491" s="29" t="n"/>
      <c r="D491" s="23" t="n"/>
      <c r="E491" s="31">
        <f>IF($D491="","",IFERROR(VLOOKUP($D491,'Base produits'!$B$5:$F$91,5,FALSE),""))</f>
        <v/>
      </c>
      <c r="F491" s="23" t="n"/>
      <c r="G491" s="21">
        <f>IF($D491="","",IFERROR(IF(VLOOKUP($D491,'Base produits'!$B$5:$J$91,9,FALSE)="","",VLOOKUP($D491,'Base produits'!$B$5:$J$91,9,FALSE)),""))</f>
        <v/>
      </c>
      <c r="H491" s="32" t="n"/>
      <c r="I491" s="21">
        <f>IF(OR($D491="",$F491="",$G491=""),"",$F491*$G491*(1-IFERROR($H491,0)))</f>
        <v/>
      </c>
      <c r="J491" s="21">
        <f>IF(OR($D491="",$F491="",$G491=""),"",($G491-IFERROR(VLOOKUP($D491,'Base produits'!$B$5:$H$91,7,FALSE),0))*$F491*(1-IFERROR($H491,0)))</f>
        <v/>
      </c>
      <c r="K491" s="23" t="n"/>
      <c r="L491" s="29" t="n"/>
    </row>
    <row r="492" ht="23" customHeight="1">
      <c r="A492" s="30" t="n"/>
      <c r="B492" s="23" t="n"/>
      <c r="C492" s="29" t="n"/>
      <c r="D492" s="23" t="n"/>
      <c r="E492" s="31">
        <f>IF($D492="","",IFERROR(VLOOKUP($D492,'Base produits'!$B$5:$F$91,5,FALSE),""))</f>
        <v/>
      </c>
      <c r="F492" s="23" t="n"/>
      <c r="G492" s="21">
        <f>IF($D492="","",IFERROR(IF(VLOOKUP($D492,'Base produits'!$B$5:$J$91,9,FALSE)="","",VLOOKUP($D492,'Base produits'!$B$5:$J$91,9,FALSE)),""))</f>
        <v/>
      </c>
      <c r="H492" s="32" t="n"/>
      <c r="I492" s="21">
        <f>IF(OR($D492="",$F492="",$G492=""),"",$F492*$G492*(1-IFERROR($H492,0)))</f>
        <v/>
      </c>
      <c r="J492" s="21">
        <f>IF(OR($D492="",$F492="",$G492=""),"",($G492-IFERROR(VLOOKUP($D492,'Base produits'!$B$5:$H$91,7,FALSE),0))*$F492*(1-IFERROR($H492,0)))</f>
        <v/>
      </c>
      <c r="K492" s="23" t="n"/>
      <c r="L492" s="29" t="n"/>
    </row>
    <row r="493" ht="23" customHeight="1">
      <c r="A493" s="30" t="n"/>
      <c r="B493" s="23" t="n"/>
      <c r="C493" s="29" t="n"/>
      <c r="D493" s="23" t="n"/>
      <c r="E493" s="31">
        <f>IF($D493="","",IFERROR(VLOOKUP($D493,'Base produits'!$B$5:$F$91,5,FALSE),""))</f>
        <v/>
      </c>
      <c r="F493" s="23" t="n"/>
      <c r="G493" s="21">
        <f>IF($D493="","",IFERROR(IF(VLOOKUP($D493,'Base produits'!$B$5:$J$91,9,FALSE)="","",VLOOKUP($D493,'Base produits'!$B$5:$J$91,9,FALSE)),""))</f>
        <v/>
      </c>
      <c r="H493" s="32" t="n"/>
      <c r="I493" s="21">
        <f>IF(OR($D493="",$F493="",$G493=""),"",$F493*$G493*(1-IFERROR($H493,0)))</f>
        <v/>
      </c>
      <c r="J493" s="21">
        <f>IF(OR($D493="",$F493="",$G493=""),"",($G493-IFERROR(VLOOKUP($D493,'Base produits'!$B$5:$H$91,7,FALSE),0))*$F493*(1-IFERROR($H493,0)))</f>
        <v/>
      </c>
      <c r="K493" s="23" t="n"/>
      <c r="L493" s="29" t="n"/>
    </row>
    <row r="494" ht="23" customHeight="1">
      <c r="A494" s="30" t="n"/>
      <c r="B494" s="23" t="n"/>
      <c r="C494" s="29" t="n"/>
      <c r="D494" s="23" t="n"/>
      <c r="E494" s="31">
        <f>IF($D494="","",IFERROR(VLOOKUP($D494,'Base produits'!$B$5:$F$91,5,FALSE),""))</f>
        <v/>
      </c>
      <c r="F494" s="23" t="n"/>
      <c r="G494" s="21">
        <f>IF($D494="","",IFERROR(IF(VLOOKUP($D494,'Base produits'!$B$5:$J$91,9,FALSE)="","",VLOOKUP($D494,'Base produits'!$B$5:$J$91,9,FALSE)),""))</f>
        <v/>
      </c>
      <c r="H494" s="32" t="n"/>
      <c r="I494" s="21">
        <f>IF(OR($D494="",$F494="",$G494=""),"",$F494*$G494*(1-IFERROR($H494,0)))</f>
        <v/>
      </c>
      <c r="J494" s="21">
        <f>IF(OR($D494="",$F494="",$G494=""),"",($G494-IFERROR(VLOOKUP($D494,'Base produits'!$B$5:$H$91,7,FALSE),0))*$F494*(1-IFERROR($H494,0)))</f>
        <v/>
      </c>
      <c r="K494" s="23" t="n"/>
      <c r="L494" s="29" t="n"/>
    </row>
    <row r="495" ht="23" customHeight="1">
      <c r="A495" s="30" t="n"/>
      <c r="B495" s="23" t="n"/>
      <c r="C495" s="29" t="n"/>
      <c r="D495" s="23" t="n"/>
      <c r="E495" s="31">
        <f>IF($D495="","",IFERROR(VLOOKUP($D495,'Base produits'!$B$5:$F$91,5,FALSE),""))</f>
        <v/>
      </c>
      <c r="F495" s="23" t="n"/>
      <c r="G495" s="21">
        <f>IF($D495="","",IFERROR(IF(VLOOKUP($D495,'Base produits'!$B$5:$J$91,9,FALSE)="","",VLOOKUP($D495,'Base produits'!$B$5:$J$91,9,FALSE)),""))</f>
        <v/>
      </c>
      <c r="H495" s="32" t="n"/>
      <c r="I495" s="21">
        <f>IF(OR($D495="",$F495="",$G495=""),"",$F495*$G495*(1-IFERROR($H495,0)))</f>
        <v/>
      </c>
      <c r="J495" s="21">
        <f>IF(OR($D495="",$F495="",$G495=""),"",($G495-IFERROR(VLOOKUP($D495,'Base produits'!$B$5:$H$91,7,FALSE),0))*$F495*(1-IFERROR($H495,0)))</f>
        <v/>
      </c>
      <c r="K495" s="23" t="n"/>
      <c r="L495" s="29" t="n"/>
    </row>
    <row r="496" ht="23" customHeight="1">
      <c r="A496" s="30" t="n"/>
      <c r="B496" s="23" t="n"/>
      <c r="C496" s="29" t="n"/>
      <c r="D496" s="23" t="n"/>
      <c r="E496" s="31">
        <f>IF($D496="","",IFERROR(VLOOKUP($D496,'Base produits'!$B$5:$F$91,5,FALSE),""))</f>
        <v/>
      </c>
      <c r="F496" s="23" t="n"/>
      <c r="G496" s="21">
        <f>IF($D496="","",IFERROR(IF(VLOOKUP($D496,'Base produits'!$B$5:$J$91,9,FALSE)="","",VLOOKUP($D496,'Base produits'!$B$5:$J$91,9,FALSE)),""))</f>
        <v/>
      </c>
      <c r="H496" s="32" t="n"/>
      <c r="I496" s="21">
        <f>IF(OR($D496="",$F496="",$G496=""),"",$F496*$G496*(1-IFERROR($H496,0)))</f>
        <v/>
      </c>
      <c r="J496" s="21">
        <f>IF(OR($D496="",$F496="",$G496=""),"",($G496-IFERROR(VLOOKUP($D496,'Base produits'!$B$5:$H$91,7,FALSE),0))*$F496*(1-IFERROR($H496,0)))</f>
        <v/>
      </c>
      <c r="K496" s="23" t="n"/>
      <c r="L496" s="29" t="n"/>
    </row>
    <row r="497" ht="23" customHeight="1">
      <c r="A497" s="30" t="n"/>
      <c r="B497" s="23" t="n"/>
      <c r="C497" s="29" t="n"/>
      <c r="D497" s="23" t="n"/>
      <c r="E497" s="31">
        <f>IF($D497="","",IFERROR(VLOOKUP($D497,'Base produits'!$B$5:$F$91,5,FALSE),""))</f>
        <v/>
      </c>
      <c r="F497" s="23" t="n"/>
      <c r="G497" s="21">
        <f>IF($D497="","",IFERROR(IF(VLOOKUP($D497,'Base produits'!$B$5:$J$91,9,FALSE)="","",VLOOKUP($D497,'Base produits'!$B$5:$J$91,9,FALSE)),""))</f>
        <v/>
      </c>
      <c r="H497" s="32" t="n"/>
      <c r="I497" s="21">
        <f>IF(OR($D497="",$F497="",$G497=""),"",$F497*$G497*(1-IFERROR($H497,0)))</f>
        <v/>
      </c>
      <c r="J497" s="21">
        <f>IF(OR($D497="",$F497="",$G497=""),"",($G497-IFERROR(VLOOKUP($D497,'Base produits'!$B$5:$H$91,7,FALSE),0))*$F497*(1-IFERROR($H497,0)))</f>
        <v/>
      </c>
      <c r="K497" s="23" t="n"/>
      <c r="L497" s="29" t="n"/>
    </row>
    <row r="498" ht="23" customHeight="1">
      <c r="A498" s="30" t="n"/>
      <c r="B498" s="23" t="n"/>
      <c r="C498" s="29" t="n"/>
      <c r="D498" s="23" t="n"/>
      <c r="E498" s="31">
        <f>IF($D498="","",IFERROR(VLOOKUP($D498,'Base produits'!$B$5:$F$91,5,FALSE),""))</f>
        <v/>
      </c>
      <c r="F498" s="23" t="n"/>
      <c r="G498" s="21">
        <f>IF($D498="","",IFERROR(IF(VLOOKUP($D498,'Base produits'!$B$5:$J$91,9,FALSE)="","",VLOOKUP($D498,'Base produits'!$B$5:$J$91,9,FALSE)),""))</f>
        <v/>
      </c>
      <c r="H498" s="32" t="n"/>
      <c r="I498" s="21">
        <f>IF(OR($D498="",$F498="",$G498=""),"",$F498*$G498*(1-IFERROR($H498,0)))</f>
        <v/>
      </c>
      <c r="J498" s="21">
        <f>IF(OR($D498="",$F498="",$G498=""),"",($G498-IFERROR(VLOOKUP($D498,'Base produits'!$B$5:$H$91,7,FALSE),0))*$F498*(1-IFERROR($H498,0)))</f>
        <v/>
      </c>
      <c r="K498" s="23" t="n"/>
      <c r="L498" s="29" t="n"/>
    </row>
    <row r="499" ht="23" customHeight="1">
      <c r="A499" s="30" t="n"/>
      <c r="B499" s="23" t="n"/>
      <c r="C499" s="29" t="n"/>
      <c r="D499" s="23" t="n"/>
      <c r="E499" s="31">
        <f>IF($D499="","",IFERROR(VLOOKUP($D499,'Base produits'!$B$5:$F$91,5,FALSE),""))</f>
        <v/>
      </c>
      <c r="F499" s="23" t="n"/>
      <c r="G499" s="21">
        <f>IF($D499="","",IFERROR(IF(VLOOKUP($D499,'Base produits'!$B$5:$J$91,9,FALSE)="","",VLOOKUP($D499,'Base produits'!$B$5:$J$91,9,FALSE)),""))</f>
        <v/>
      </c>
      <c r="H499" s="32" t="n"/>
      <c r="I499" s="21">
        <f>IF(OR($D499="",$F499="",$G499=""),"",$F499*$G499*(1-IFERROR($H499,0)))</f>
        <v/>
      </c>
      <c r="J499" s="21">
        <f>IF(OR($D499="",$F499="",$G499=""),"",($G499-IFERROR(VLOOKUP($D499,'Base produits'!$B$5:$H$91,7,FALSE),0))*$F499*(1-IFERROR($H499,0)))</f>
        <v/>
      </c>
      <c r="K499" s="23" t="n"/>
      <c r="L499" s="29" t="n"/>
    </row>
    <row r="500" ht="23" customHeight="1">
      <c r="A500" s="30" t="n"/>
      <c r="B500" s="23" t="n"/>
      <c r="C500" s="29" t="n"/>
      <c r="D500" s="23" t="n"/>
      <c r="E500" s="31">
        <f>IF($D500="","",IFERROR(VLOOKUP($D500,'Base produits'!$B$5:$F$91,5,FALSE),""))</f>
        <v/>
      </c>
      <c r="F500" s="23" t="n"/>
      <c r="G500" s="21">
        <f>IF($D500="","",IFERROR(IF(VLOOKUP($D500,'Base produits'!$B$5:$J$91,9,FALSE)="","",VLOOKUP($D500,'Base produits'!$B$5:$J$91,9,FALSE)),""))</f>
        <v/>
      </c>
      <c r="H500" s="32" t="n"/>
      <c r="I500" s="21">
        <f>IF(OR($D500="",$F500="",$G500=""),"",$F500*$G500*(1-IFERROR($H500,0)))</f>
        <v/>
      </c>
      <c r="J500" s="21">
        <f>IF(OR($D500="",$F500="",$G500=""),"",($G500-IFERROR(VLOOKUP($D500,'Base produits'!$B$5:$H$91,7,FALSE),0))*$F500*(1-IFERROR($H500,0)))</f>
        <v/>
      </c>
      <c r="K500" s="23" t="n"/>
      <c r="L500" s="29" t="n"/>
    </row>
    <row r="501" ht="23" customHeight="1">
      <c r="A501" s="30" t="n"/>
      <c r="B501" s="23" t="n"/>
      <c r="C501" s="29" t="n"/>
      <c r="D501" s="23" t="n"/>
      <c r="E501" s="31">
        <f>IF($D501="","",IFERROR(VLOOKUP($D501,'Base produits'!$B$5:$F$91,5,FALSE),""))</f>
        <v/>
      </c>
      <c r="F501" s="23" t="n"/>
      <c r="G501" s="21">
        <f>IF($D501="","",IFERROR(IF(VLOOKUP($D501,'Base produits'!$B$5:$J$91,9,FALSE)="","",VLOOKUP($D501,'Base produits'!$B$5:$J$91,9,FALSE)),""))</f>
        <v/>
      </c>
      <c r="H501" s="32" t="n"/>
      <c r="I501" s="21">
        <f>IF(OR($D501="",$F501="",$G501=""),"",$F501*$G501*(1-IFERROR($H501,0)))</f>
        <v/>
      </c>
      <c r="J501" s="21">
        <f>IF(OR($D501="",$F501="",$G501=""),"",($G501-IFERROR(VLOOKUP($D501,'Base produits'!$B$5:$H$91,7,FALSE),0))*$F501*(1-IFERROR($H501,0)))</f>
        <v/>
      </c>
      <c r="K501" s="23" t="n"/>
      <c r="L501" s="29" t="n"/>
    </row>
    <row r="502" ht="23" customHeight="1">
      <c r="A502" s="30" t="n"/>
      <c r="B502" s="23" t="n"/>
      <c r="C502" s="29" t="n"/>
      <c r="D502" s="23" t="n"/>
      <c r="E502" s="31">
        <f>IF($D502="","",IFERROR(VLOOKUP($D502,'Base produits'!$B$5:$F$91,5,FALSE),""))</f>
        <v/>
      </c>
      <c r="F502" s="23" t="n"/>
      <c r="G502" s="21">
        <f>IF($D502="","",IFERROR(IF(VLOOKUP($D502,'Base produits'!$B$5:$J$91,9,FALSE)="","",VLOOKUP($D502,'Base produits'!$B$5:$J$91,9,FALSE)),""))</f>
        <v/>
      </c>
      <c r="H502" s="32" t="n"/>
      <c r="I502" s="21">
        <f>IF(OR($D502="",$F502="",$G502=""),"",$F502*$G502*(1-IFERROR($H502,0)))</f>
        <v/>
      </c>
      <c r="J502" s="21">
        <f>IF(OR($D502="",$F502="",$G502=""),"",($G502-IFERROR(VLOOKUP($D502,'Base produits'!$B$5:$H$91,7,FALSE),0))*$F502*(1-IFERROR($H502,0)))</f>
        <v/>
      </c>
      <c r="K502" s="23" t="n"/>
      <c r="L502" s="29" t="n"/>
    </row>
    <row r="503" ht="23" customHeight="1">
      <c r="A503" s="30" t="n"/>
      <c r="B503" s="23" t="n"/>
      <c r="C503" s="29" t="n"/>
      <c r="D503" s="23" t="n"/>
      <c r="E503" s="31">
        <f>IF($D503="","",IFERROR(VLOOKUP($D503,'Base produits'!$B$5:$F$91,5,FALSE),""))</f>
        <v/>
      </c>
      <c r="F503" s="23" t="n"/>
      <c r="G503" s="21">
        <f>IF($D503="","",IFERROR(IF(VLOOKUP($D503,'Base produits'!$B$5:$J$91,9,FALSE)="","",VLOOKUP($D503,'Base produits'!$B$5:$J$91,9,FALSE)),""))</f>
        <v/>
      </c>
      <c r="H503" s="32" t="n"/>
      <c r="I503" s="21">
        <f>IF(OR($D503="",$F503="",$G503=""),"",$F503*$G503*(1-IFERROR($H503,0)))</f>
        <v/>
      </c>
      <c r="J503" s="21">
        <f>IF(OR($D503="",$F503="",$G503=""),"",($G503-IFERROR(VLOOKUP($D503,'Base produits'!$B$5:$H$91,7,FALSE),0))*$F503*(1-IFERROR($H503,0)))</f>
        <v/>
      </c>
      <c r="K503" s="23" t="n"/>
      <c r="L503" s="29" t="n"/>
    </row>
    <row r="504" ht="23" customHeight="1">
      <c r="A504" s="30" t="n"/>
      <c r="B504" s="23" t="n"/>
      <c r="C504" s="29" t="n"/>
      <c r="D504" s="23" t="n"/>
      <c r="E504" s="31">
        <f>IF($D504="","",IFERROR(VLOOKUP($D504,'Base produits'!$B$5:$F$91,5,FALSE),""))</f>
        <v/>
      </c>
      <c r="F504" s="23" t="n"/>
      <c r="G504" s="21">
        <f>IF($D504="","",IFERROR(IF(VLOOKUP($D504,'Base produits'!$B$5:$J$91,9,FALSE)="","",VLOOKUP($D504,'Base produits'!$B$5:$J$91,9,FALSE)),""))</f>
        <v/>
      </c>
      <c r="H504" s="32" t="n"/>
      <c r="I504" s="21">
        <f>IF(OR($D504="",$F504="",$G504=""),"",$F504*$G504*(1-IFERROR($H504,0)))</f>
        <v/>
      </c>
      <c r="J504" s="21">
        <f>IF(OR($D504="",$F504="",$G504=""),"",($G504-IFERROR(VLOOKUP($D504,'Base produits'!$B$5:$H$91,7,FALSE),0))*$F504*(1-IFERROR($H504,0)))</f>
        <v/>
      </c>
      <c r="K504" s="23" t="n"/>
      <c r="L504" s="29" t="n"/>
    </row>
  </sheetData>
  <mergeCells count="2">
    <mergeCell ref="A2:L2"/>
    <mergeCell ref="A1:L1"/>
  </mergeCells>
  <dataValidations count="1">
    <dataValidation sqref="D5:D504" showDropDown="0" showInputMessage="0" showErrorMessage="0" allowBlank="1" errorTitle="Référence non reconnue" error="Choisissez une référence de la base produits." promptTitle="Choisir une référence" prompt="Sélectionner une référence déjà créée dans Base produits." type="list">
      <formula1>=ListeReferences</formula1>
    </dataValidation>
  </dataValidations>
  <pageMargins left="0.25" right="0.25" top="0.5" bottom="0.5"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1F4E78"/>
    <outlinePr summaryBelow="1" summaryRight="1"/>
    <pageSetUpPr fitToPage="1"/>
  </sheetPr>
  <dimension ref="A1:H504"/>
  <sheetViews>
    <sheetView showGridLines="0" zoomScale="90" workbookViewId="0">
      <pane ySplit="4" topLeftCell="A5" activePane="bottomLeft" state="frozen"/>
      <selection pane="bottomLeft" activeCell="A1" sqref="A1"/>
    </sheetView>
  </sheetViews>
  <sheetFormatPr baseColWidth="8" defaultRowHeight="20"/>
  <cols>
    <col width="15" customWidth="1" min="1" max="1"/>
    <col width="26" customWidth="1" min="2" max="2"/>
    <col width="18" customWidth="1" min="3" max="3"/>
    <col width="43" customWidth="1" min="4" max="4"/>
    <col width="13" customWidth="1" min="5" max="5"/>
    <col width="23" customWidth="1" min="6" max="6"/>
    <col width="20" customWidth="1" min="7" max="7"/>
    <col width="34" customWidth="1" min="8" max="8"/>
  </cols>
  <sheetData>
    <row r="1" ht="36" customHeight="1">
      <c r="A1" s="1" t="inlineStr">
        <is>
          <t>Réceptions et entrées de stock</t>
        </is>
      </c>
    </row>
    <row r="2" ht="30" customHeight="1">
      <c r="A2" s="2" t="inlineStr">
        <is>
          <t>Saisir une ligne par réception fournisseur. Le coût unitaire est prérempli depuis la base; corriger la valeur si la facture fournisseur diffère.</t>
        </is>
      </c>
    </row>
    <row r="4" ht="40" customHeight="1">
      <c r="A4" s="13" t="inlineStr">
        <is>
          <t>Date</t>
        </is>
      </c>
      <c r="B4" s="13" t="inlineStr">
        <is>
          <t>Fournisseur</t>
        </is>
      </c>
      <c r="C4" s="13" t="inlineStr">
        <is>
          <t>Référence</t>
        </is>
      </c>
      <c r="D4" s="13" t="inlineStr">
        <is>
          <t>Désignation</t>
        </is>
      </c>
      <c r="E4" s="13" t="inlineStr">
        <is>
          <t>Qté reçue</t>
        </is>
      </c>
      <c r="F4" s="13" t="inlineStr">
        <is>
          <t>Prix achat unitaire HT</t>
        </is>
      </c>
      <c r="G4" s="13" t="inlineStr">
        <is>
          <t>Total achat HT</t>
        </is>
      </c>
      <c r="H4" s="13" t="inlineStr">
        <is>
          <t>Facture / note</t>
        </is>
      </c>
    </row>
    <row r="5">
      <c r="A5" s="30" t="n"/>
      <c r="B5" s="29" t="n"/>
      <c r="C5" s="23" t="n"/>
      <c r="D5" s="31">
        <f>IF($C5="","",IFERROR(VLOOKUP($C5,'Base produits'!$B$5:$F$91,5,FALSE),""))</f>
        <v/>
      </c>
      <c r="E5" s="23" t="n"/>
      <c r="F5" s="19">
        <f>IF($C5="","",IFERROR(IF(VLOOKUP($C5,'Base produits'!$B$5:$H$91,7,FALSE)="","",VLOOKUP($C5,'Base produits'!$B$5:$H$91,7,FALSE)),""))</f>
        <v/>
      </c>
      <c r="G5" s="21">
        <f>IF(OR($C5="",$E5="",$F5=""),"",$E5*$F5)</f>
        <v/>
      </c>
      <c r="H5" s="29" t="n"/>
    </row>
    <row r="6">
      <c r="A6" s="30" t="n"/>
      <c r="B6" s="29" t="n"/>
      <c r="C6" s="23" t="n"/>
      <c r="D6" s="31">
        <f>IF($C6="","",IFERROR(VLOOKUP($C6,'Base produits'!$B$5:$F$91,5,FALSE),""))</f>
        <v/>
      </c>
      <c r="E6" s="23" t="n"/>
      <c r="F6" s="19">
        <f>IF($C6="","",IFERROR(IF(VLOOKUP($C6,'Base produits'!$B$5:$H$91,7,FALSE)="","",VLOOKUP($C6,'Base produits'!$B$5:$H$91,7,FALSE)),""))</f>
        <v/>
      </c>
      <c r="G6" s="21">
        <f>IF(OR($C6="",$E6="",$F6=""),"",$E6*$F6)</f>
        <v/>
      </c>
      <c r="H6" s="29" t="n"/>
    </row>
    <row r="7">
      <c r="A7" s="30" t="n"/>
      <c r="B7" s="29" t="n"/>
      <c r="C7" s="23" t="n"/>
      <c r="D7" s="31">
        <f>IF($C7="","",IFERROR(VLOOKUP($C7,'Base produits'!$B$5:$F$91,5,FALSE),""))</f>
        <v/>
      </c>
      <c r="E7" s="23" t="n"/>
      <c r="F7" s="19">
        <f>IF($C7="","",IFERROR(IF(VLOOKUP($C7,'Base produits'!$B$5:$H$91,7,FALSE)="","",VLOOKUP($C7,'Base produits'!$B$5:$H$91,7,FALSE)),""))</f>
        <v/>
      </c>
      <c r="G7" s="21">
        <f>IF(OR($C7="",$E7="",$F7=""),"",$E7*$F7)</f>
        <v/>
      </c>
      <c r="H7" s="29" t="n"/>
    </row>
    <row r="8">
      <c r="A8" s="30" t="n"/>
      <c r="B8" s="29" t="n"/>
      <c r="C8" s="23" t="n"/>
      <c r="D8" s="31">
        <f>IF($C8="","",IFERROR(VLOOKUP($C8,'Base produits'!$B$5:$F$91,5,FALSE),""))</f>
        <v/>
      </c>
      <c r="E8" s="23" t="n"/>
      <c r="F8" s="19">
        <f>IF($C8="","",IFERROR(IF(VLOOKUP($C8,'Base produits'!$B$5:$H$91,7,FALSE)="","",VLOOKUP($C8,'Base produits'!$B$5:$H$91,7,FALSE)),""))</f>
        <v/>
      </c>
      <c r="G8" s="21">
        <f>IF(OR($C8="",$E8="",$F8=""),"",$E8*$F8)</f>
        <v/>
      </c>
      <c r="H8" s="29" t="n"/>
    </row>
    <row r="9">
      <c r="A9" s="30" t="n"/>
      <c r="B9" s="29" t="n"/>
      <c r="C9" s="23" t="n"/>
      <c r="D9" s="31">
        <f>IF($C9="","",IFERROR(VLOOKUP($C9,'Base produits'!$B$5:$F$91,5,FALSE),""))</f>
        <v/>
      </c>
      <c r="E9" s="23" t="n"/>
      <c r="F9" s="19">
        <f>IF($C9="","",IFERROR(IF(VLOOKUP($C9,'Base produits'!$B$5:$H$91,7,FALSE)="","",VLOOKUP($C9,'Base produits'!$B$5:$H$91,7,FALSE)),""))</f>
        <v/>
      </c>
      <c r="G9" s="21">
        <f>IF(OR($C9="",$E9="",$F9=""),"",$E9*$F9)</f>
        <v/>
      </c>
      <c r="H9" s="29" t="n"/>
    </row>
    <row r="10">
      <c r="A10" s="30" t="n"/>
      <c r="B10" s="29" t="n"/>
      <c r="C10" s="23" t="n"/>
      <c r="D10" s="31">
        <f>IF($C10="","",IFERROR(VLOOKUP($C10,'Base produits'!$B$5:$F$91,5,FALSE),""))</f>
        <v/>
      </c>
      <c r="E10" s="23" t="n"/>
      <c r="F10" s="19">
        <f>IF($C10="","",IFERROR(IF(VLOOKUP($C10,'Base produits'!$B$5:$H$91,7,FALSE)="","",VLOOKUP($C10,'Base produits'!$B$5:$H$91,7,FALSE)),""))</f>
        <v/>
      </c>
      <c r="G10" s="21">
        <f>IF(OR($C10="",$E10="",$F10=""),"",$E10*$F10)</f>
        <v/>
      </c>
      <c r="H10" s="29" t="n"/>
    </row>
    <row r="11">
      <c r="A11" s="30" t="n"/>
      <c r="B11" s="29" t="n"/>
      <c r="C11" s="23" t="n"/>
      <c r="D11" s="31">
        <f>IF($C11="","",IFERROR(VLOOKUP($C11,'Base produits'!$B$5:$F$91,5,FALSE),""))</f>
        <v/>
      </c>
      <c r="E11" s="23" t="n"/>
      <c r="F11" s="19">
        <f>IF($C11="","",IFERROR(IF(VLOOKUP($C11,'Base produits'!$B$5:$H$91,7,FALSE)="","",VLOOKUP($C11,'Base produits'!$B$5:$H$91,7,FALSE)),""))</f>
        <v/>
      </c>
      <c r="G11" s="21">
        <f>IF(OR($C11="",$E11="",$F11=""),"",$E11*$F11)</f>
        <v/>
      </c>
      <c r="H11" s="29" t="n"/>
    </row>
    <row r="12">
      <c r="A12" s="30" t="n"/>
      <c r="B12" s="29" t="n"/>
      <c r="C12" s="23" t="n"/>
      <c r="D12" s="31">
        <f>IF($C12="","",IFERROR(VLOOKUP($C12,'Base produits'!$B$5:$F$91,5,FALSE),""))</f>
        <v/>
      </c>
      <c r="E12" s="23" t="n"/>
      <c r="F12" s="19">
        <f>IF($C12="","",IFERROR(IF(VLOOKUP($C12,'Base produits'!$B$5:$H$91,7,FALSE)="","",VLOOKUP($C12,'Base produits'!$B$5:$H$91,7,FALSE)),""))</f>
        <v/>
      </c>
      <c r="G12" s="21">
        <f>IF(OR($C12="",$E12="",$F12=""),"",$E12*$F12)</f>
        <v/>
      </c>
      <c r="H12" s="29" t="n"/>
    </row>
    <row r="13">
      <c r="A13" s="30" t="n"/>
      <c r="B13" s="29" t="n"/>
      <c r="C13" s="23" t="n"/>
      <c r="D13" s="31">
        <f>IF($C13="","",IFERROR(VLOOKUP($C13,'Base produits'!$B$5:$F$91,5,FALSE),""))</f>
        <v/>
      </c>
      <c r="E13" s="23" t="n"/>
      <c r="F13" s="19">
        <f>IF($C13="","",IFERROR(IF(VLOOKUP($C13,'Base produits'!$B$5:$H$91,7,FALSE)="","",VLOOKUP($C13,'Base produits'!$B$5:$H$91,7,FALSE)),""))</f>
        <v/>
      </c>
      <c r="G13" s="21">
        <f>IF(OR($C13="",$E13="",$F13=""),"",$E13*$F13)</f>
        <v/>
      </c>
      <c r="H13" s="29" t="n"/>
    </row>
    <row r="14">
      <c r="A14" s="30" t="n"/>
      <c r="B14" s="29" t="n"/>
      <c r="C14" s="23" t="n"/>
      <c r="D14" s="31">
        <f>IF($C14="","",IFERROR(VLOOKUP($C14,'Base produits'!$B$5:$F$91,5,FALSE),""))</f>
        <v/>
      </c>
      <c r="E14" s="23" t="n"/>
      <c r="F14" s="19">
        <f>IF($C14="","",IFERROR(IF(VLOOKUP($C14,'Base produits'!$B$5:$H$91,7,FALSE)="","",VLOOKUP($C14,'Base produits'!$B$5:$H$91,7,FALSE)),""))</f>
        <v/>
      </c>
      <c r="G14" s="21">
        <f>IF(OR($C14="",$E14="",$F14=""),"",$E14*$F14)</f>
        <v/>
      </c>
      <c r="H14" s="29" t="n"/>
    </row>
    <row r="15">
      <c r="A15" s="30" t="n"/>
      <c r="B15" s="29" t="n"/>
      <c r="C15" s="23" t="n"/>
      <c r="D15" s="31">
        <f>IF($C15="","",IFERROR(VLOOKUP($C15,'Base produits'!$B$5:$F$91,5,FALSE),""))</f>
        <v/>
      </c>
      <c r="E15" s="23" t="n"/>
      <c r="F15" s="19">
        <f>IF($C15="","",IFERROR(IF(VLOOKUP($C15,'Base produits'!$B$5:$H$91,7,FALSE)="","",VLOOKUP($C15,'Base produits'!$B$5:$H$91,7,FALSE)),""))</f>
        <v/>
      </c>
      <c r="G15" s="21">
        <f>IF(OR($C15="",$E15="",$F15=""),"",$E15*$F15)</f>
        <v/>
      </c>
      <c r="H15" s="29" t="n"/>
    </row>
    <row r="16">
      <c r="A16" s="30" t="n"/>
      <c r="B16" s="29" t="n"/>
      <c r="C16" s="23" t="n"/>
      <c r="D16" s="31">
        <f>IF($C16="","",IFERROR(VLOOKUP($C16,'Base produits'!$B$5:$F$91,5,FALSE),""))</f>
        <v/>
      </c>
      <c r="E16" s="23" t="n"/>
      <c r="F16" s="19">
        <f>IF($C16="","",IFERROR(IF(VLOOKUP($C16,'Base produits'!$B$5:$H$91,7,FALSE)="","",VLOOKUP($C16,'Base produits'!$B$5:$H$91,7,FALSE)),""))</f>
        <v/>
      </c>
      <c r="G16" s="21">
        <f>IF(OR($C16="",$E16="",$F16=""),"",$E16*$F16)</f>
        <v/>
      </c>
      <c r="H16" s="29" t="n"/>
    </row>
    <row r="17">
      <c r="A17" s="30" t="n"/>
      <c r="B17" s="29" t="n"/>
      <c r="C17" s="23" t="n"/>
      <c r="D17" s="31">
        <f>IF($C17="","",IFERROR(VLOOKUP($C17,'Base produits'!$B$5:$F$91,5,FALSE),""))</f>
        <v/>
      </c>
      <c r="E17" s="23" t="n"/>
      <c r="F17" s="19">
        <f>IF($C17="","",IFERROR(IF(VLOOKUP($C17,'Base produits'!$B$5:$H$91,7,FALSE)="","",VLOOKUP($C17,'Base produits'!$B$5:$H$91,7,FALSE)),""))</f>
        <v/>
      </c>
      <c r="G17" s="21">
        <f>IF(OR($C17="",$E17="",$F17=""),"",$E17*$F17)</f>
        <v/>
      </c>
      <c r="H17" s="29" t="n"/>
    </row>
    <row r="18">
      <c r="A18" s="30" t="n"/>
      <c r="B18" s="29" t="n"/>
      <c r="C18" s="23" t="n"/>
      <c r="D18" s="31">
        <f>IF($C18="","",IFERROR(VLOOKUP($C18,'Base produits'!$B$5:$F$91,5,FALSE),""))</f>
        <v/>
      </c>
      <c r="E18" s="23" t="n"/>
      <c r="F18" s="19">
        <f>IF($C18="","",IFERROR(IF(VLOOKUP($C18,'Base produits'!$B$5:$H$91,7,FALSE)="","",VLOOKUP($C18,'Base produits'!$B$5:$H$91,7,FALSE)),""))</f>
        <v/>
      </c>
      <c r="G18" s="21">
        <f>IF(OR($C18="",$E18="",$F18=""),"",$E18*$F18)</f>
        <v/>
      </c>
      <c r="H18" s="29" t="n"/>
    </row>
    <row r="19">
      <c r="A19" s="30" t="n"/>
      <c r="B19" s="29" t="n"/>
      <c r="C19" s="23" t="n"/>
      <c r="D19" s="31">
        <f>IF($C19="","",IFERROR(VLOOKUP($C19,'Base produits'!$B$5:$F$91,5,FALSE),""))</f>
        <v/>
      </c>
      <c r="E19" s="23" t="n"/>
      <c r="F19" s="19">
        <f>IF($C19="","",IFERROR(IF(VLOOKUP($C19,'Base produits'!$B$5:$H$91,7,FALSE)="","",VLOOKUP($C19,'Base produits'!$B$5:$H$91,7,FALSE)),""))</f>
        <v/>
      </c>
      <c r="G19" s="21">
        <f>IF(OR($C19="",$E19="",$F19=""),"",$E19*$F19)</f>
        <v/>
      </c>
      <c r="H19" s="29" t="n"/>
    </row>
    <row r="20">
      <c r="A20" s="30" t="n"/>
      <c r="B20" s="29" t="n"/>
      <c r="C20" s="23" t="n"/>
      <c r="D20" s="31">
        <f>IF($C20="","",IFERROR(VLOOKUP($C20,'Base produits'!$B$5:$F$91,5,FALSE),""))</f>
        <v/>
      </c>
      <c r="E20" s="23" t="n"/>
      <c r="F20" s="19">
        <f>IF($C20="","",IFERROR(IF(VLOOKUP($C20,'Base produits'!$B$5:$H$91,7,FALSE)="","",VLOOKUP($C20,'Base produits'!$B$5:$H$91,7,FALSE)),""))</f>
        <v/>
      </c>
      <c r="G20" s="21">
        <f>IF(OR($C20="",$E20="",$F20=""),"",$E20*$F20)</f>
        <v/>
      </c>
      <c r="H20" s="29" t="n"/>
    </row>
    <row r="21">
      <c r="A21" s="30" t="n"/>
      <c r="B21" s="29" t="n"/>
      <c r="C21" s="23" t="n"/>
      <c r="D21" s="31">
        <f>IF($C21="","",IFERROR(VLOOKUP($C21,'Base produits'!$B$5:$F$91,5,FALSE),""))</f>
        <v/>
      </c>
      <c r="E21" s="23" t="n"/>
      <c r="F21" s="19">
        <f>IF($C21="","",IFERROR(IF(VLOOKUP($C21,'Base produits'!$B$5:$H$91,7,FALSE)="","",VLOOKUP($C21,'Base produits'!$B$5:$H$91,7,FALSE)),""))</f>
        <v/>
      </c>
      <c r="G21" s="21">
        <f>IF(OR($C21="",$E21="",$F21=""),"",$E21*$F21)</f>
        <v/>
      </c>
      <c r="H21" s="29" t="n"/>
    </row>
    <row r="22">
      <c r="A22" s="30" t="n"/>
      <c r="B22" s="29" t="n"/>
      <c r="C22" s="23" t="n"/>
      <c r="D22" s="31">
        <f>IF($C22="","",IFERROR(VLOOKUP($C22,'Base produits'!$B$5:$F$91,5,FALSE),""))</f>
        <v/>
      </c>
      <c r="E22" s="23" t="n"/>
      <c r="F22" s="19">
        <f>IF($C22="","",IFERROR(IF(VLOOKUP($C22,'Base produits'!$B$5:$H$91,7,FALSE)="","",VLOOKUP($C22,'Base produits'!$B$5:$H$91,7,FALSE)),""))</f>
        <v/>
      </c>
      <c r="G22" s="21">
        <f>IF(OR($C22="",$E22="",$F22=""),"",$E22*$F22)</f>
        <v/>
      </c>
      <c r="H22" s="29" t="n"/>
    </row>
    <row r="23">
      <c r="A23" s="30" t="n"/>
      <c r="B23" s="29" t="n"/>
      <c r="C23" s="23" t="n"/>
      <c r="D23" s="31">
        <f>IF($C23="","",IFERROR(VLOOKUP($C23,'Base produits'!$B$5:$F$91,5,FALSE),""))</f>
        <v/>
      </c>
      <c r="E23" s="23" t="n"/>
      <c r="F23" s="19">
        <f>IF($C23="","",IFERROR(IF(VLOOKUP($C23,'Base produits'!$B$5:$H$91,7,FALSE)="","",VLOOKUP($C23,'Base produits'!$B$5:$H$91,7,FALSE)),""))</f>
        <v/>
      </c>
      <c r="G23" s="21">
        <f>IF(OR($C23="",$E23="",$F23=""),"",$E23*$F23)</f>
        <v/>
      </c>
      <c r="H23" s="29" t="n"/>
    </row>
    <row r="24">
      <c r="A24" s="30" t="n"/>
      <c r="B24" s="29" t="n"/>
      <c r="C24" s="23" t="n"/>
      <c r="D24" s="31">
        <f>IF($C24="","",IFERROR(VLOOKUP($C24,'Base produits'!$B$5:$F$91,5,FALSE),""))</f>
        <v/>
      </c>
      <c r="E24" s="23" t="n"/>
      <c r="F24" s="19">
        <f>IF($C24="","",IFERROR(IF(VLOOKUP($C24,'Base produits'!$B$5:$H$91,7,FALSE)="","",VLOOKUP($C24,'Base produits'!$B$5:$H$91,7,FALSE)),""))</f>
        <v/>
      </c>
      <c r="G24" s="21">
        <f>IF(OR($C24="",$E24="",$F24=""),"",$E24*$F24)</f>
        <v/>
      </c>
      <c r="H24" s="29" t="n"/>
    </row>
    <row r="25">
      <c r="A25" s="30" t="n"/>
      <c r="B25" s="29" t="n"/>
      <c r="C25" s="23" t="n"/>
      <c r="D25" s="31">
        <f>IF($C25="","",IFERROR(VLOOKUP($C25,'Base produits'!$B$5:$F$91,5,FALSE),""))</f>
        <v/>
      </c>
      <c r="E25" s="23" t="n"/>
      <c r="F25" s="19">
        <f>IF($C25="","",IFERROR(IF(VLOOKUP($C25,'Base produits'!$B$5:$H$91,7,FALSE)="","",VLOOKUP($C25,'Base produits'!$B$5:$H$91,7,FALSE)),""))</f>
        <v/>
      </c>
      <c r="G25" s="21">
        <f>IF(OR($C25="",$E25="",$F25=""),"",$E25*$F25)</f>
        <v/>
      </c>
      <c r="H25" s="29" t="n"/>
    </row>
    <row r="26">
      <c r="A26" s="30" t="n"/>
      <c r="B26" s="29" t="n"/>
      <c r="C26" s="23" t="n"/>
      <c r="D26" s="31">
        <f>IF($C26="","",IFERROR(VLOOKUP($C26,'Base produits'!$B$5:$F$91,5,FALSE),""))</f>
        <v/>
      </c>
      <c r="E26" s="23" t="n"/>
      <c r="F26" s="19">
        <f>IF($C26="","",IFERROR(IF(VLOOKUP($C26,'Base produits'!$B$5:$H$91,7,FALSE)="","",VLOOKUP($C26,'Base produits'!$B$5:$H$91,7,FALSE)),""))</f>
        <v/>
      </c>
      <c r="G26" s="21">
        <f>IF(OR($C26="",$E26="",$F26=""),"",$E26*$F26)</f>
        <v/>
      </c>
      <c r="H26" s="29" t="n"/>
    </row>
    <row r="27">
      <c r="A27" s="30" t="n"/>
      <c r="B27" s="29" t="n"/>
      <c r="C27" s="23" t="n"/>
      <c r="D27" s="31">
        <f>IF($C27="","",IFERROR(VLOOKUP($C27,'Base produits'!$B$5:$F$91,5,FALSE),""))</f>
        <v/>
      </c>
      <c r="E27" s="23" t="n"/>
      <c r="F27" s="19">
        <f>IF($C27="","",IFERROR(IF(VLOOKUP($C27,'Base produits'!$B$5:$H$91,7,FALSE)="","",VLOOKUP($C27,'Base produits'!$B$5:$H$91,7,FALSE)),""))</f>
        <v/>
      </c>
      <c r="G27" s="21">
        <f>IF(OR($C27="",$E27="",$F27=""),"",$E27*$F27)</f>
        <v/>
      </c>
      <c r="H27" s="29" t="n"/>
    </row>
    <row r="28">
      <c r="A28" s="30" t="n"/>
      <c r="B28" s="29" t="n"/>
      <c r="C28" s="23" t="n"/>
      <c r="D28" s="31">
        <f>IF($C28="","",IFERROR(VLOOKUP($C28,'Base produits'!$B$5:$F$91,5,FALSE),""))</f>
        <v/>
      </c>
      <c r="E28" s="23" t="n"/>
      <c r="F28" s="19">
        <f>IF($C28="","",IFERROR(IF(VLOOKUP($C28,'Base produits'!$B$5:$H$91,7,FALSE)="","",VLOOKUP($C28,'Base produits'!$B$5:$H$91,7,FALSE)),""))</f>
        <v/>
      </c>
      <c r="G28" s="21">
        <f>IF(OR($C28="",$E28="",$F28=""),"",$E28*$F28)</f>
        <v/>
      </c>
      <c r="H28" s="29" t="n"/>
    </row>
    <row r="29">
      <c r="A29" s="30" t="n"/>
      <c r="B29" s="29" t="n"/>
      <c r="C29" s="23" t="n"/>
      <c r="D29" s="31">
        <f>IF($C29="","",IFERROR(VLOOKUP($C29,'Base produits'!$B$5:$F$91,5,FALSE),""))</f>
        <v/>
      </c>
      <c r="E29" s="23" t="n"/>
      <c r="F29" s="19">
        <f>IF($C29="","",IFERROR(IF(VLOOKUP($C29,'Base produits'!$B$5:$H$91,7,FALSE)="","",VLOOKUP($C29,'Base produits'!$B$5:$H$91,7,FALSE)),""))</f>
        <v/>
      </c>
      <c r="G29" s="21">
        <f>IF(OR($C29="",$E29="",$F29=""),"",$E29*$F29)</f>
        <v/>
      </c>
      <c r="H29" s="29" t="n"/>
    </row>
    <row r="30">
      <c r="A30" s="30" t="n"/>
      <c r="B30" s="29" t="n"/>
      <c r="C30" s="23" t="n"/>
      <c r="D30" s="31">
        <f>IF($C30="","",IFERROR(VLOOKUP($C30,'Base produits'!$B$5:$F$91,5,FALSE),""))</f>
        <v/>
      </c>
      <c r="E30" s="23" t="n"/>
      <c r="F30" s="19">
        <f>IF($C30="","",IFERROR(IF(VLOOKUP($C30,'Base produits'!$B$5:$H$91,7,FALSE)="","",VLOOKUP($C30,'Base produits'!$B$5:$H$91,7,FALSE)),""))</f>
        <v/>
      </c>
      <c r="G30" s="21">
        <f>IF(OR($C30="",$E30="",$F30=""),"",$E30*$F30)</f>
        <v/>
      </c>
      <c r="H30" s="29" t="n"/>
    </row>
    <row r="31">
      <c r="A31" s="30" t="n"/>
      <c r="B31" s="29" t="n"/>
      <c r="C31" s="23" t="n"/>
      <c r="D31" s="31">
        <f>IF($C31="","",IFERROR(VLOOKUP($C31,'Base produits'!$B$5:$F$91,5,FALSE),""))</f>
        <v/>
      </c>
      <c r="E31" s="23" t="n"/>
      <c r="F31" s="19">
        <f>IF($C31="","",IFERROR(IF(VLOOKUP($C31,'Base produits'!$B$5:$H$91,7,FALSE)="","",VLOOKUP($C31,'Base produits'!$B$5:$H$91,7,FALSE)),""))</f>
        <v/>
      </c>
      <c r="G31" s="21">
        <f>IF(OR($C31="",$E31="",$F31=""),"",$E31*$F31)</f>
        <v/>
      </c>
      <c r="H31" s="29" t="n"/>
    </row>
    <row r="32">
      <c r="A32" s="30" t="n"/>
      <c r="B32" s="29" t="n"/>
      <c r="C32" s="23" t="n"/>
      <c r="D32" s="31">
        <f>IF($C32="","",IFERROR(VLOOKUP($C32,'Base produits'!$B$5:$F$91,5,FALSE),""))</f>
        <v/>
      </c>
      <c r="E32" s="23" t="n"/>
      <c r="F32" s="19">
        <f>IF($C32="","",IFERROR(IF(VLOOKUP($C32,'Base produits'!$B$5:$H$91,7,FALSE)="","",VLOOKUP($C32,'Base produits'!$B$5:$H$91,7,FALSE)),""))</f>
        <v/>
      </c>
      <c r="G32" s="21">
        <f>IF(OR($C32="",$E32="",$F32=""),"",$E32*$F32)</f>
        <v/>
      </c>
      <c r="H32" s="29" t="n"/>
    </row>
    <row r="33">
      <c r="A33" s="30" t="n"/>
      <c r="B33" s="29" t="n"/>
      <c r="C33" s="23" t="n"/>
      <c r="D33" s="31">
        <f>IF($C33="","",IFERROR(VLOOKUP($C33,'Base produits'!$B$5:$F$91,5,FALSE),""))</f>
        <v/>
      </c>
      <c r="E33" s="23" t="n"/>
      <c r="F33" s="19">
        <f>IF($C33="","",IFERROR(IF(VLOOKUP($C33,'Base produits'!$B$5:$H$91,7,FALSE)="","",VLOOKUP($C33,'Base produits'!$B$5:$H$91,7,FALSE)),""))</f>
        <v/>
      </c>
      <c r="G33" s="21">
        <f>IF(OR($C33="",$E33="",$F33=""),"",$E33*$F33)</f>
        <v/>
      </c>
      <c r="H33" s="29" t="n"/>
    </row>
    <row r="34">
      <c r="A34" s="30" t="n"/>
      <c r="B34" s="29" t="n"/>
      <c r="C34" s="23" t="n"/>
      <c r="D34" s="31">
        <f>IF($C34="","",IFERROR(VLOOKUP($C34,'Base produits'!$B$5:$F$91,5,FALSE),""))</f>
        <v/>
      </c>
      <c r="E34" s="23" t="n"/>
      <c r="F34" s="19">
        <f>IF($C34="","",IFERROR(IF(VLOOKUP($C34,'Base produits'!$B$5:$H$91,7,FALSE)="","",VLOOKUP($C34,'Base produits'!$B$5:$H$91,7,FALSE)),""))</f>
        <v/>
      </c>
      <c r="G34" s="21">
        <f>IF(OR($C34="",$E34="",$F34=""),"",$E34*$F34)</f>
        <v/>
      </c>
      <c r="H34" s="29" t="n"/>
    </row>
    <row r="35">
      <c r="A35" s="30" t="n"/>
      <c r="B35" s="29" t="n"/>
      <c r="C35" s="23" t="n"/>
      <c r="D35" s="31">
        <f>IF($C35="","",IFERROR(VLOOKUP($C35,'Base produits'!$B$5:$F$91,5,FALSE),""))</f>
        <v/>
      </c>
      <c r="E35" s="23" t="n"/>
      <c r="F35" s="19">
        <f>IF($C35="","",IFERROR(IF(VLOOKUP($C35,'Base produits'!$B$5:$H$91,7,FALSE)="","",VLOOKUP($C35,'Base produits'!$B$5:$H$91,7,FALSE)),""))</f>
        <v/>
      </c>
      <c r="G35" s="21">
        <f>IF(OR($C35="",$E35="",$F35=""),"",$E35*$F35)</f>
        <v/>
      </c>
      <c r="H35" s="29" t="n"/>
    </row>
    <row r="36">
      <c r="A36" s="30" t="n"/>
      <c r="B36" s="29" t="n"/>
      <c r="C36" s="23" t="n"/>
      <c r="D36" s="31">
        <f>IF($C36="","",IFERROR(VLOOKUP($C36,'Base produits'!$B$5:$F$91,5,FALSE),""))</f>
        <v/>
      </c>
      <c r="E36" s="23" t="n"/>
      <c r="F36" s="19">
        <f>IF($C36="","",IFERROR(IF(VLOOKUP($C36,'Base produits'!$B$5:$H$91,7,FALSE)="","",VLOOKUP($C36,'Base produits'!$B$5:$H$91,7,FALSE)),""))</f>
        <v/>
      </c>
      <c r="G36" s="21">
        <f>IF(OR($C36="",$E36="",$F36=""),"",$E36*$F36)</f>
        <v/>
      </c>
      <c r="H36" s="29" t="n"/>
    </row>
    <row r="37">
      <c r="A37" s="30" t="n"/>
      <c r="B37" s="29" t="n"/>
      <c r="C37" s="23" t="n"/>
      <c r="D37" s="31">
        <f>IF($C37="","",IFERROR(VLOOKUP($C37,'Base produits'!$B$5:$F$91,5,FALSE),""))</f>
        <v/>
      </c>
      <c r="E37" s="23" t="n"/>
      <c r="F37" s="19">
        <f>IF($C37="","",IFERROR(IF(VLOOKUP($C37,'Base produits'!$B$5:$H$91,7,FALSE)="","",VLOOKUP($C37,'Base produits'!$B$5:$H$91,7,FALSE)),""))</f>
        <v/>
      </c>
      <c r="G37" s="21">
        <f>IF(OR($C37="",$E37="",$F37=""),"",$E37*$F37)</f>
        <v/>
      </c>
      <c r="H37" s="29" t="n"/>
    </row>
    <row r="38">
      <c r="A38" s="30" t="n"/>
      <c r="B38" s="29" t="n"/>
      <c r="C38" s="23" t="n"/>
      <c r="D38" s="31">
        <f>IF($C38="","",IFERROR(VLOOKUP($C38,'Base produits'!$B$5:$F$91,5,FALSE),""))</f>
        <v/>
      </c>
      <c r="E38" s="23" t="n"/>
      <c r="F38" s="19">
        <f>IF($C38="","",IFERROR(IF(VLOOKUP($C38,'Base produits'!$B$5:$H$91,7,FALSE)="","",VLOOKUP($C38,'Base produits'!$B$5:$H$91,7,FALSE)),""))</f>
        <v/>
      </c>
      <c r="G38" s="21">
        <f>IF(OR($C38="",$E38="",$F38=""),"",$E38*$F38)</f>
        <v/>
      </c>
      <c r="H38" s="29" t="n"/>
    </row>
    <row r="39">
      <c r="A39" s="30" t="n"/>
      <c r="B39" s="29" t="n"/>
      <c r="C39" s="23" t="n"/>
      <c r="D39" s="31">
        <f>IF($C39="","",IFERROR(VLOOKUP($C39,'Base produits'!$B$5:$F$91,5,FALSE),""))</f>
        <v/>
      </c>
      <c r="E39" s="23" t="n"/>
      <c r="F39" s="19">
        <f>IF($C39="","",IFERROR(IF(VLOOKUP($C39,'Base produits'!$B$5:$H$91,7,FALSE)="","",VLOOKUP($C39,'Base produits'!$B$5:$H$91,7,FALSE)),""))</f>
        <v/>
      </c>
      <c r="G39" s="21">
        <f>IF(OR($C39="",$E39="",$F39=""),"",$E39*$F39)</f>
        <v/>
      </c>
      <c r="H39" s="29" t="n"/>
    </row>
    <row r="40">
      <c r="A40" s="30" t="n"/>
      <c r="B40" s="29" t="n"/>
      <c r="C40" s="23" t="n"/>
      <c r="D40" s="31">
        <f>IF($C40="","",IFERROR(VLOOKUP($C40,'Base produits'!$B$5:$F$91,5,FALSE),""))</f>
        <v/>
      </c>
      <c r="E40" s="23" t="n"/>
      <c r="F40" s="19">
        <f>IF($C40="","",IFERROR(IF(VLOOKUP($C40,'Base produits'!$B$5:$H$91,7,FALSE)="","",VLOOKUP($C40,'Base produits'!$B$5:$H$91,7,FALSE)),""))</f>
        <v/>
      </c>
      <c r="G40" s="21">
        <f>IF(OR($C40="",$E40="",$F40=""),"",$E40*$F40)</f>
        <v/>
      </c>
      <c r="H40" s="29" t="n"/>
    </row>
    <row r="41">
      <c r="A41" s="30" t="n"/>
      <c r="B41" s="29" t="n"/>
      <c r="C41" s="23" t="n"/>
      <c r="D41" s="31">
        <f>IF($C41="","",IFERROR(VLOOKUP($C41,'Base produits'!$B$5:$F$91,5,FALSE),""))</f>
        <v/>
      </c>
      <c r="E41" s="23" t="n"/>
      <c r="F41" s="19">
        <f>IF($C41="","",IFERROR(IF(VLOOKUP($C41,'Base produits'!$B$5:$H$91,7,FALSE)="","",VLOOKUP($C41,'Base produits'!$B$5:$H$91,7,FALSE)),""))</f>
        <v/>
      </c>
      <c r="G41" s="21">
        <f>IF(OR($C41="",$E41="",$F41=""),"",$E41*$F41)</f>
        <v/>
      </c>
      <c r="H41" s="29" t="n"/>
    </row>
    <row r="42">
      <c r="A42" s="30" t="n"/>
      <c r="B42" s="29" t="n"/>
      <c r="C42" s="23" t="n"/>
      <c r="D42" s="31">
        <f>IF($C42="","",IFERROR(VLOOKUP($C42,'Base produits'!$B$5:$F$91,5,FALSE),""))</f>
        <v/>
      </c>
      <c r="E42" s="23" t="n"/>
      <c r="F42" s="19">
        <f>IF($C42="","",IFERROR(IF(VLOOKUP($C42,'Base produits'!$B$5:$H$91,7,FALSE)="","",VLOOKUP($C42,'Base produits'!$B$5:$H$91,7,FALSE)),""))</f>
        <v/>
      </c>
      <c r="G42" s="21">
        <f>IF(OR($C42="",$E42="",$F42=""),"",$E42*$F42)</f>
        <v/>
      </c>
      <c r="H42" s="29" t="n"/>
    </row>
    <row r="43">
      <c r="A43" s="30" t="n"/>
      <c r="B43" s="29" t="n"/>
      <c r="C43" s="23" t="n"/>
      <c r="D43" s="31">
        <f>IF($C43="","",IFERROR(VLOOKUP($C43,'Base produits'!$B$5:$F$91,5,FALSE),""))</f>
        <v/>
      </c>
      <c r="E43" s="23" t="n"/>
      <c r="F43" s="19">
        <f>IF($C43="","",IFERROR(IF(VLOOKUP($C43,'Base produits'!$B$5:$H$91,7,FALSE)="","",VLOOKUP($C43,'Base produits'!$B$5:$H$91,7,FALSE)),""))</f>
        <v/>
      </c>
      <c r="G43" s="21">
        <f>IF(OR($C43="",$E43="",$F43=""),"",$E43*$F43)</f>
        <v/>
      </c>
      <c r="H43" s="29" t="n"/>
    </row>
    <row r="44">
      <c r="A44" s="30" t="n"/>
      <c r="B44" s="29" t="n"/>
      <c r="C44" s="23" t="n"/>
      <c r="D44" s="31">
        <f>IF($C44="","",IFERROR(VLOOKUP($C44,'Base produits'!$B$5:$F$91,5,FALSE),""))</f>
        <v/>
      </c>
      <c r="E44" s="23" t="n"/>
      <c r="F44" s="19">
        <f>IF($C44="","",IFERROR(IF(VLOOKUP($C44,'Base produits'!$B$5:$H$91,7,FALSE)="","",VLOOKUP($C44,'Base produits'!$B$5:$H$91,7,FALSE)),""))</f>
        <v/>
      </c>
      <c r="G44" s="21">
        <f>IF(OR($C44="",$E44="",$F44=""),"",$E44*$F44)</f>
        <v/>
      </c>
      <c r="H44" s="29" t="n"/>
    </row>
    <row r="45">
      <c r="A45" s="30" t="n"/>
      <c r="B45" s="29" t="n"/>
      <c r="C45" s="23" t="n"/>
      <c r="D45" s="31">
        <f>IF($C45="","",IFERROR(VLOOKUP($C45,'Base produits'!$B$5:$F$91,5,FALSE),""))</f>
        <v/>
      </c>
      <c r="E45" s="23" t="n"/>
      <c r="F45" s="19">
        <f>IF($C45="","",IFERROR(IF(VLOOKUP($C45,'Base produits'!$B$5:$H$91,7,FALSE)="","",VLOOKUP($C45,'Base produits'!$B$5:$H$91,7,FALSE)),""))</f>
        <v/>
      </c>
      <c r="G45" s="21">
        <f>IF(OR($C45="",$E45="",$F45=""),"",$E45*$F45)</f>
        <v/>
      </c>
      <c r="H45" s="29" t="n"/>
    </row>
    <row r="46">
      <c r="A46" s="30" t="n"/>
      <c r="B46" s="29" t="n"/>
      <c r="C46" s="23" t="n"/>
      <c r="D46" s="31">
        <f>IF($C46="","",IFERROR(VLOOKUP($C46,'Base produits'!$B$5:$F$91,5,FALSE),""))</f>
        <v/>
      </c>
      <c r="E46" s="23" t="n"/>
      <c r="F46" s="19">
        <f>IF($C46="","",IFERROR(IF(VLOOKUP($C46,'Base produits'!$B$5:$H$91,7,FALSE)="","",VLOOKUP($C46,'Base produits'!$B$5:$H$91,7,FALSE)),""))</f>
        <v/>
      </c>
      <c r="G46" s="21">
        <f>IF(OR($C46="",$E46="",$F46=""),"",$E46*$F46)</f>
        <v/>
      </c>
      <c r="H46" s="29" t="n"/>
    </row>
    <row r="47">
      <c r="A47" s="30" t="n"/>
      <c r="B47" s="29" t="n"/>
      <c r="C47" s="23" t="n"/>
      <c r="D47" s="31">
        <f>IF($C47="","",IFERROR(VLOOKUP($C47,'Base produits'!$B$5:$F$91,5,FALSE),""))</f>
        <v/>
      </c>
      <c r="E47" s="23" t="n"/>
      <c r="F47" s="19">
        <f>IF($C47="","",IFERROR(IF(VLOOKUP($C47,'Base produits'!$B$5:$H$91,7,FALSE)="","",VLOOKUP($C47,'Base produits'!$B$5:$H$91,7,FALSE)),""))</f>
        <v/>
      </c>
      <c r="G47" s="21">
        <f>IF(OR($C47="",$E47="",$F47=""),"",$E47*$F47)</f>
        <v/>
      </c>
      <c r="H47" s="29" t="n"/>
    </row>
    <row r="48">
      <c r="A48" s="30" t="n"/>
      <c r="B48" s="29" t="n"/>
      <c r="C48" s="23" t="n"/>
      <c r="D48" s="31">
        <f>IF($C48="","",IFERROR(VLOOKUP($C48,'Base produits'!$B$5:$F$91,5,FALSE),""))</f>
        <v/>
      </c>
      <c r="E48" s="23" t="n"/>
      <c r="F48" s="19">
        <f>IF($C48="","",IFERROR(IF(VLOOKUP($C48,'Base produits'!$B$5:$H$91,7,FALSE)="","",VLOOKUP($C48,'Base produits'!$B$5:$H$91,7,FALSE)),""))</f>
        <v/>
      </c>
      <c r="G48" s="21">
        <f>IF(OR($C48="",$E48="",$F48=""),"",$E48*$F48)</f>
        <v/>
      </c>
      <c r="H48" s="29" t="n"/>
    </row>
    <row r="49">
      <c r="A49" s="30" t="n"/>
      <c r="B49" s="29" t="n"/>
      <c r="C49" s="23" t="n"/>
      <c r="D49" s="31">
        <f>IF($C49="","",IFERROR(VLOOKUP($C49,'Base produits'!$B$5:$F$91,5,FALSE),""))</f>
        <v/>
      </c>
      <c r="E49" s="23" t="n"/>
      <c r="F49" s="19">
        <f>IF($C49="","",IFERROR(IF(VLOOKUP($C49,'Base produits'!$B$5:$H$91,7,FALSE)="","",VLOOKUP($C49,'Base produits'!$B$5:$H$91,7,FALSE)),""))</f>
        <v/>
      </c>
      <c r="G49" s="21">
        <f>IF(OR($C49="",$E49="",$F49=""),"",$E49*$F49)</f>
        <v/>
      </c>
      <c r="H49" s="29" t="n"/>
    </row>
    <row r="50">
      <c r="A50" s="30" t="n"/>
      <c r="B50" s="29" t="n"/>
      <c r="C50" s="23" t="n"/>
      <c r="D50" s="31">
        <f>IF($C50="","",IFERROR(VLOOKUP($C50,'Base produits'!$B$5:$F$91,5,FALSE),""))</f>
        <v/>
      </c>
      <c r="E50" s="23" t="n"/>
      <c r="F50" s="19">
        <f>IF($C50="","",IFERROR(IF(VLOOKUP($C50,'Base produits'!$B$5:$H$91,7,FALSE)="","",VLOOKUP($C50,'Base produits'!$B$5:$H$91,7,FALSE)),""))</f>
        <v/>
      </c>
      <c r="G50" s="21">
        <f>IF(OR($C50="",$E50="",$F50=""),"",$E50*$F50)</f>
        <v/>
      </c>
      <c r="H50" s="29" t="n"/>
    </row>
    <row r="51">
      <c r="A51" s="30" t="n"/>
      <c r="B51" s="29" t="n"/>
      <c r="C51" s="23" t="n"/>
      <c r="D51" s="31">
        <f>IF($C51="","",IFERROR(VLOOKUP($C51,'Base produits'!$B$5:$F$91,5,FALSE),""))</f>
        <v/>
      </c>
      <c r="E51" s="23" t="n"/>
      <c r="F51" s="19">
        <f>IF($C51="","",IFERROR(IF(VLOOKUP($C51,'Base produits'!$B$5:$H$91,7,FALSE)="","",VLOOKUP($C51,'Base produits'!$B$5:$H$91,7,FALSE)),""))</f>
        <v/>
      </c>
      <c r="G51" s="21">
        <f>IF(OR($C51="",$E51="",$F51=""),"",$E51*$F51)</f>
        <v/>
      </c>
      <c r="H51" s="29" t="n"/>
    </row>
    <row r="52">
      <c r="A52" s="30" t="n"/>
      <c r="B52" s="29" t="n"/>
      <c r="C52" s="23" t="n"/>
      <c r="D52" s="31">
        <f>IF($C52="","",IFERROR(VLOOKUP($C52,'Base produits'!$B$5:$F$91,5,FALSE),""))</f>
        <v/>
      </c>
      <c r="E52" s="23" t="n"/>
      <c r="F52" s="19">
        <f>IF($C52="","",IFERROR(IF(VLOOKUP($C52,'Base produits'!$B$5:$H$91,7,FALSE)="","",VLOOKUP($C52,'Base produits'!$B$5:$H$91,7,FALSE)),""))</f>
        <v/>
      </c>
      <c r="G52" s="21">
        <f>IF(OR($C52="",$E52="",$F52=""),"",$E52*$F52)</f>
        <v/>
      </c>
      <c r="H52" s="29" t="n"/>
    </row>
    <row r="53">
      <c r="A53" s="30" t="n"/>
      <c r="B53" s="29" t="n"/>
      <c r="C53" s="23" t="n"/>
      <c r="D53" s="31">
        <f>IF($C53="","",IFERROR(VLOOKUP($C53,'Base produits'!$B$5:$F$91,5,FALSE),""))</f>
        <v/>
      </c>
      <c r="E53" s="23" t="n"/>
      <c r="F53" s="19">
        <f>IF($C53="","",IFERROR(IF(VLOOKUP($C53,'Base produits'!$B$5:$H$91,7,FALSE)="","",VLOOKUP($C53,'Base produits'!$B$5:$H$91,7,FALSE)),""))</f>
        <v/>
      </c>
      <c r="G53" s="21">
        <f>IF(OR($C53="",$E53="",$F53=""),"",$E53*$F53)</f>
        <v/>
      </c>
      <c r="H53" s="29" t="n"/>
    </row>
    <row r="54">
      <c r="A54" s="30" t="n"/>
      <c r="B54" s="29" t="n"/>
      <c r="C54" s="23" t="n"/>
      <c r="D54" s="31">
        <f>IF($C54="","",IFERROR(VLOOKUP($C54,'Base produits'!$B$5:$F$91,5,FALSE),""))</f>
        <v/>
      </c>
      <c r="E54" s="23" t="n"/>
      <c r="F54" s="19">
        <f>IF($C54="","",IFERROR(IF(VLOOKUP($C54,'Base produits'!$B$5:$H$91,7,FALSE)="","",VLOOKUP($C54,'Base produits'!$B$5:$H$91,7,FALSE)),""))</f>
        <v/>
      </c>
      <c r="G54" s="21">
        <f>IF(OR($C54="",$E54="",$F54=""),"",$E54*$F54)</f>
        <v/>
      </c>
      <c r="H54" s="29" t="n"/>
    </row>
    <row r="55">
      <c r="A55" s="30" t="n"/>
      <c r="B55" s="29" t="n"/>
      <c r="C55" s="23" t="n"/>
      <c r="D55" s="31">
        <f>IF($C55="","",IFERROR(VLOOKUP($C55,'Base produits'!$B$5:$F$91,5,FALSE),""))</f>
        <v/>
      </c>
      <c r="E55" s="23" t="n"/>
      <c r="F55" s="19">
        <f>IF($C55="","",IFERROR(IF(VLOOKUP($C55,'Base produits'!$B$5:$H$91,7,FALSE)="","",VLOOKUP($C55,'Base produits'!$B$5:$H$91,7,FALSE)),""))</f>
        <v/>
      </c>
      <c r="G55" s="21">
        <f>IF(OR($C55="",$E55="",$F55=""),"",$E55*$F55)</f>
        <v/>
      </c>
      <c r="H55" s="29" t="n"/>
    </row>
    <row r="56">
      <c r="A56" s="30" t="n"/>
      <c r="B56" s="29" t="n"/>
      <c r="C56" s="23" t="n"/>
      <c r="D56" s="31">
        <f>IF($C56="","",IFERROR(VLOOKUP($C56,'Base produits'!$B$5:$F$91,5,FALSE),""))</f>
        <v/>
      </c>
      <c r="E56" s="23" t="n"/>
      <c r="F56" s="19">
        <f>IF($C56="","",IFERROR(IF(VLOOKUP($C56,'Base produits'!$B$5:$H$91,7,FALSE)="","",VLOOKUP($C56,'Base produits'!$B$5:$H$91,7,FALSE)),""))</f>
        <v/>
      </c>
      <c r="G56" s="21">
        <f>IF(OR($C56="",$E56="",$F56=""),"",$E56*$F56)</f>
        <v/>
      </c>
      <c r="H56" s="29" t="n"/>
    </row>
    <row r="57">
      <c r="A57" s="30" t="n"/>
      <c r="B57" s="29" t="n"/>
      <c r="C57" s="23" t="n"/>
      <c r="D57" s="31">
        <f>IF($C57="","",IFERROR(VLOOKUP($C57,'Base produits'!$B$5:$F$91,5,FALSE),""))</f>
        <v/>
      </c>
      <c r="E57" s="23" t="n"/>
      <c r="F57" s="19">
        <f>IF($C57="","",IFERROR(IF(VLOOKUP($C57,'Base produits'!$B$5:$H$91,7,FALSE)="","",VLOOKUP($C57,'Base produits'!$B$5:$H$91,7,FALSE)),""))</f>
        <v/>
      </c>
      <c r="G57" s="21">
        <f>IF(OR($C57="",$E57="",$F57=""),"",$E57*$F57)</f>
        <v/>
      </c>
      <c r="H57" s="29" t="n"/>
    </row>
    <row r="58">
      <c r="A58" s="30" t="n"/>
      <c r="B58" s="29" t="n"/>
      <c r="C58" s="23" t="n"/>
      <c r="D58" s="31">
        <f>IF($C58="","",IFERROR(VLOOKUP($C58,'Base produits'!$B$5:$F$91,5,FALSE),""))</f>
        <v/>
      </c>
      <c r="E58" s="23" t="n"/>
      <c r="F58" s="19">
        <f>IF($C58="","",IFERROR(IF(VLOOKUP($C58,'Base produits'!$B$5:$H$91,7,FALSE)="","",VLOOKUP($C58,'Base produits'!$B$5:$H$91,7,FALSE)),""))</f>
        <v/>
      </c>
      <c r="G58" s="21">
        <f>IF(OR($C58="",$E58="",$F58=""),"",$E58*$F58)</f>
        <v/>
      </c>
      <c r="H58" s="29" t="n"/>
    </row>
    <row r="59">
      <c r="A59" s="30" t="n"/>
      <c r="B59" s="29" t="n"/>
      <c r="C59" s="23" t="n"/>
      <c r="D59" s="31">
        <f>IF($C59="","",IFERROR(VLOOKUP($C59,'Base produits'!$B$5:$F$91,5,FALSE),""))</f>
        <v/>
      </c>
      <c r="E59" s="23" t="n"/>
      <c r="F59" s="19">
        <f>IF($C59="","",IFERROR(IF(VLOOKUP($C59,'Base produits'!$B$5:$H$91,7,FALSE)="","",VLOOKUP($C59,'Base produits'!$B$5:$H$91,7,FALSE)),""))</f>
        <v/>
      </c>
      <c r="G59" s="21">
        <f>IF(OR($C59="",$E59="",$F59=""),"",$E59*$F59)</f>
        <v/>
      </c>
      <c r="H59" s="29" t="n"/>
    </row>
    <row r="60">
      <c r="A60" s="30" t="n"/>
      <c r="B60" s="29" t="n"/>
      <c r="C60" s="23" t="n"/>
      <c r="D60" s="31">
        <f>IF($C60="","",IFERROR(VLOOKUP($C60,'Base produits'!$B$5:$F$91,5,FALSE),""))</f>
        <v/>
      </c>
      <c r="E60" s="23" t="n"/>
      <c r="F60" s="19">
        <f>IF($C60="","",IFERROR(IF(VLOOKUP($C60,'Base produits'!$B$5:$H$91,7,FALSE)="","",VLOOKUP($C60,'Base produits'!$B$5:$H$91,7,FALSE)),""))</f>
        <v/>
      </c>
      <c r="G60" s="21">
        <f>IF(OR($C60="",$E60="",$F60=""),"",$E60*$F60)</f>
        <v/>
      </c>
      <c r="H60" s="29" t="n"/>
    </row>
    <row r="61">
      <c r="A61" s="30" t="n"/>
      <c r="B61" s="29" t="n"/>
      <c r="C61" s="23" t="n"/>
      <c r="D61" s="31">
        <f>IF($C61="","",IFERROR(VLOOKUP($C61,'Base produits'!$B$5:$F$91,5,FALSE),""))</f>
        <v/>
      </c>
      <c r="E61" s="23" t="n"/>
      <c r="F61" s="19">
        <f>IF($C61="","",IFERROR(IF(VLOOKUP($C61,'Base produits'!$B$5:$H$91,7,FALSE)="","",VLOOKUP($C61,'Base produits'!$B$5:$H$91,7,FALSE)),""))</f>
        <v/>
      </c>
      <c r="G61" s="21">
        <f>IF(OR($C61="",$E61="",$F61=""),"",$E61*$F61)</f>
        <v/>
      </c>
      <c r="H61" s="29" t="n"/>
    </row>
    <row r="62">
      <c r="A62" s="30" t="n"/>
      <c r="B62" s="29" t="n"/>
      <c r="C62" s="23" t="n"/>
      <c r="D62" s="31">
        <f>IF($C62="","",IFERROR(VLOOKUP($C62,'Base produits'!$B$5:$F$91,5,FALSE),""))</f>
        <v/>
      </c>
      <c r="E62" s="23" t="n"/>
      <c r="F62" s="19">
        <f>IF($C62="","",IFERROR(IF(VLOOKUP($C62,'Base produits'!$B$5:$H$91,7,FALSE)="","",VLOOKUP($C62,'Base produits'!$B$5:$H$91,7,FALSE)),""))</f>
        <v/>
      </c>
      <c r="G62" s="21">
        <f>IF(OR($C62="",$E62="",$F62=""),"",$E62*$F62)</f>
        <v/>
      </c>
      <c r="H62" s="29" t="n"/>
    </row>
    <row r="63">
      <c r="A63" s="30" t="n"/>
      <c r="B63" s="29" t="n"/>
      <c r="C63" s="23" t="n"/>
      <c r="D63" s="31">
        <f>IF($C63="","",IFERROR(VLOOKUP($C63,'Base produits'!$B$5:$F$91,5,FALSE),""))</f>
        <v/>
      </c>
      <c r="E63" s="23" t="n"/>
      <c r="F63" s="19">
        <f>IF($C63="","",IFERROR(IF(VLOOKUP($C63,'Base produits'!$B$5:$H$91,7,FALSE)="","",VLOOKUP($C63,'Base produits'!$B$5:$H$91,7,FALSE)),""))</f>
        <v/>
      </c>
      <c r="G63" s="21">
        <f>IF(OR($C63="",$E63="",$F63=""),"",$E63*$F63)</f>
        <v/>
      </c>
      <c r="H63" s="29" t="n"/>
    </row>
    <row r="64">
      <c r="A64" s="30" t="n"/>
      <c r="B64" s="29" t="n"/>
      <c r="C64" s="23" t="n"/>
      <c r="D64" s="31">
        <f>IF($C64="","",IFERROR(VLOOKUP($C64,'Base produits'!$B$5:$F$91,5,FALSE),""))</f>
        <v/>
      </c>
      <c r="E64" s="23" t="n"/>
      <c r="F64" s="19">
        <f>IF($C64="","",IFERROR(IF(VLOOKUP($C64,'Base produits'!$B$5:$H$91,7,FALSE)="","",VLOOKUP($C64,'Base produits'!$B$5:$H$91,7,FALSE)),""))</f>
        <v/>
      </c>
      <c r="G64" s="21">
        <f>IF(OR($C64="",$E64="",$F64=""),"",$E64*$F64)</f>
        <v/>
      </c>
      <c r="H64" s="29" t="n"/>
    </row>
    <row r="65">
      <c r="A65" s="30" t="n"/>
      <c r="B65" s="29" t="n"/>
      <c r="C65" s="23" t="n"/>
      <c r="D65" s="31">
        <f>IF($C65="","",IFERROR(VLOOKUP($C65,'Base produits'!$B$5:$F$91,5,FALSE),""))</f>
        <v/>
      </c>
      <c r="E65" s="23" t="n"/>
      <c r="F65" s="19">
        <f>IF($C65="","",IFERROR(IF(VLOOKUP($C65,'Base produits'!$B$5:$H$91,7,FALSE)="","",VLOOKUP($C65,'Base produits'!$B$5:$H$91,7,FALSE)),""))</f>
        <v/>
      </c>
      <c r="G65" s="21">
        <f>IF(OR($C65="",$E65="",$F65=""),"",$E65*$F65)</f>
        <v/>
      </c>
      <c r="H65" s="29" t="n"/>
    </row>
    <row r="66">
      <c r="A66" s="30" t="n"/>
      <c r="B66" s="29" t="n"/>
      <c r="C66" s="23" t="n"/>
      <c r="D66" s="31">
        <f>IF($C66="","",IFERROR(VLOOKUP($C66,'Base produits'!$B$5:$F$91,5,FALSE),""))</f>
        <v/>
      </c>
      <c r="E66" s="23" t="n"/>
      <c r="F66" s="19">
        <f>IF($C66="","",IFERROR(IF(VLOOKUP($C66,'Base produits'!$B$5:$H$91,7,FALSE)="","",VLOOKUP($C66,'Base produits'!$B$5:$H$91,7,FALSE)),""))</f>
        <v/>
      </c>
      <c r="G66" s="21">
        <f>IF(OR($C66="",$E66="",$F66=""),"",$E66*$F66)</f>
        <v/>
      </c>
      <c r="H66" s="29" t="n"/>
    </row>
    <row r="67">
      <c r="A67" s="30" t="n"/>
      <c r="B67" s="29" t="n"/>
      <c r="C67" s="23" t="n"/>
      <c r="D67" s="31">
        <f>IF($C67="","",IFERROR(VLOOKUP($C67,'Base produits'!$B$5:$F$91,5,FALSE),""))</f>
        <v/>
      </c>
      <c r="E67" s="23" t="n"/>
      <c r="F67" s="19">
        <f>IF($C67="","",IFERROR(IF(VLOOKUP($C67,'Base produits'!$B$5:$H$91,7,FALSE)="","",VLOOKUP($C67,'Base produits'!$B$5:$H$91,7,FALSE)),""))</f>
        <v/>
      </c>
      <c r="G67" s="21">
        <f>IF(OR($C67="",$E67="",$F67=""),"",$E67*$F67)</f>
        <v/>
      </c>
      <c r="H67" s="29" t="n"/>
    </row>
    <row r="68">
      <c r="A68" s="30" t="n"/>
      <c r="B68" s="29" t="n"/>
      <c r="C68" s="23" t="n"/>
      <c r="D68" s="31">
        <f>IF($C68="","",IFERROR(VLOOKUP($C68,'Base produits'!$B$5:$F$91,5,FALSE),""))</f>
        <v/>
      </c>
      <c r="E68" s="23" t="n"/>
      <c r="F68" s="19">
        <f>IF($C68="","",IFERROR(IF(VLOOKUP($C68,'Base produits'!$B$5:$H$91,7,FALSE)="","",VLOOKUP($C68,'Base produits'!$B$5:$H$91,7,FALSE)),""))</f>
        <v/>
      </c>
      <c r="G68" s="21">
        <f>IF(OR($C68="",$E68="",$F68=""),"",$E68*$F68)</f>
        <v/>
      </c>
      <c r="H68" s="29" t="n"/>
    </row>
    <row r="69">
      <c r="A69" s="30" t="n"/>
      <c r="B69" s="29" t="n"/>
      <c r="C69" s="23" t="n"/>
      <c r="D69" s="31">
        <f>IF($C69="","",IFERROR(VLOOKUP($C69,'Base produits'!$B$5:$F$91,5,FALSE),""))</f>
        <v/>
      </c>
      <c r="E69" s="23" t="n"/>
      <c r="F69" s="19">
        <f>IF($C69="","",IFERROR(IF(VLOOKUP($C69,'Base produits'!$B$5:$H$91,7,FALSE)="","",VLOOKUP($C69,'Base produits'!$B$5:$H$91,7,FALSE)),""))</f>
        <v/>
      </c>
      <c r="G69" s="21">
        <f>IF(OR($C69="",$E69="",$F69=""),"",$E69*$F69)</f>
        <v/>
      </c>
      <c r="H69" s="29" t="n"/>
    </row>
    <row r="70">
      <c r="A70" s="30" t="n"/>
      <c r="B70" s="29" t="n"/>
      <c r="C70" s="23" t="n"/>
      <c r="D70" s="31">
        <f>IF($C70="","",IFERROR(VLOOKUP($C70,'Base produits'!$B$5:$F$91,5,FALSE),""))</f>
        <v/>
      </c>
      <c r="E70" s="23" t="n"/>
      <c r="F70" s="19">
        <f>IF($C70="","",IFERROR(IF(VLOOKUP($C70,'Base produits'!$B$5:$H$91,7,FALSE)="","",VLOOKUP($C70,'Base produits'!$B$5:$H$91,7,FALSE)),""))</f>
        <v/>
      </c>
      <c r="G70" s="21">
        <f>IF(OR($C70="",$E70="",$F70=""),"",$E70*$F70)</f>
        <v/>
      </c>
      <c r="H70" s="29" t="n"/>
    </row>
    <row r="71">
      <c r="A71" s="30" t="n"/>
      <c r="B71" s="29" t="n"/>
      <c r="C71" s="23" t="n"/>
      <c r="D71" s="31">
        <f>IF($C71="","",IFERROR(VLOOKUP($C71,'Base produits'!$B$5:$F$91,5,FALSE),""))</f>
        <v/>
      </c>
      <c r="E71" s="23" t="n"/>
      <c r="F71" s="19">
        <f>IF($C71="","",IFERROR(IF(VLOOKUP($C71,'Base produits'!$B$5:$H$91,7,FALSE)="","",VLOOKUP($C71,'Base produits'!$B$5:$H$91,7,FALSE)),""))</f>
        <v/>
      </c>
      <c r="G71" s="21">
        <f>IF(OR($C71="",$E71="",$F71=""),"",$E71*$F71)</f>
        <v/>
      </c>
      <c r="H71" s="29" t="n"/>
    </row>
    <row r="72">
      <c r="A72" s="30" t="n"/>
      <c r="B72" s="29" t="n"/>
      <c r="C72" s="23" t="n"/>
      <c r="D72" s="31">
        <f>IF($C72="","",IFERROR(VLOOKUP($C72,'Base produits'!$B$5:$F$91,5,FALSE),""))</f>
        <v/>
      </c>
      <c r="E72" s="23" t="n"/>
      <c r="F72" s="19">
        <f>IF($C72="","",IFERROR(IF(VLOOKUP($C72,'Base produits'!$B$5:$H$91,7,FALSE)="","",VLOOKUP($C72,'Base produits'!$B$5:$H$91,7,FALSE)),""))</f>
        <v/>
      </c>
      <c r="G72" s="21">
        <f>IF(OR($C72="",$E72="",$F72=""),"",$E72*$F72)</f>
        <v/>
      </c>
      <c r="H72" s="29" t="n"/>
    </row>
    <row r="73">
      <c r="A73" s="30" t="n"/>
      <c r="B73" s="29" t="n"/>
      <c r="C73" s="23" t="n"/>
      <c r="D73" s="31">
        <f>IF($C73="","",IFERROR(VLOOKUP($C73,'Base produits'!$B$5:$F$91,5,FALSE),""))</f>
        <v/>
      </c>
      <c r="E73" s="23" t="n"/>
      <c r="F73" s="19">
        <f>IF($C73="","",IFERROR(IF(VLOOKUP($C73,'Base produits'!$B$5:$H$91,7,FALSE)="","",VLOOKUP($C73,'Base produits'!$B$5:$H$91,7,FALSE)),""))</f>
        <v/>
      </c>
      <c r="G73" s="21">
        <f>IF(OR($C73="",$E73="",$F73=""),"",$E73*$F73)</f>
        <v/>
      </c>
      <c r="H73" s="29" t="n"/>
    </row>
    <row r="74">
      <c r="A74" s="30" t="n"/>
      <c r="B74" s="29" t="n"/>
      <c r="C74" s="23" t="n"/>
      <c r="D74" s="31">
        <f>IF($C74="","",IFERROR(VLOOKUP($C74,'Base produits'!$B$5:$F$91,5,FALSE),""))</f>
        <v/>
      </c>
      <c r="E74" s="23" t="n"/>
      <c r="F74" s="19">
        <f>IF($C74="","",IFERROR(IF(VLOOKUP($C74,'Base produits'!$B$5:$H$91,7,FALSE)="","",VLOOKUP($C74,'Base produits'!$B$5:$H$91,7,FALSE)),""))</f>
        <v/>
      </c>
      <c r="G74" s="21">
        <f>IF(OR($C74="",$E74="",$F74=""),"",$E74*$F74)</f>
        <v/>
      </c>
      <c r="H74" s="29" t="n"/>
    </row>
    <row r="75">
      <c r="A75" s="30" t="n"/>
      <c r="B75" s="29" t="n"/>
      <c r="C75" s="23" t="n"/>
      <c r="D75" s="31">
        <f>IF($C75="","",IFERROR(VLOOKUP($C75,'Base produits'!$B$5:$F$91,5,FALSE),""))</f>
        <v/>
      </c>
      <c r="E75" s="23" t="n"/>
      <c r="F75" s="19">
        <f>IF($C75="","",IFERROR(IF(VLOOKUP($C75,'Base produits'!$B$5:$H$91,7,FALSE)="","",VLOOKUP($C75,'Base produits'!$B$5:$H$91,7,FALSE)),""))</f>
        <v/>
      </c>
      <c r="G75" s="21">
        <f>IF(OR($C75="",$E75="",$F75=""),"",$E75*$F75)</f>
        <v/>
      </c>
      <c r="H75" s="29" t="n"/>
    </row>
    <row r="76">
      <c r="A76" s="30" t="n"/>
      <c r="B76" s="29" t="n"/>
      <c r="C76" s="23" t="n"/>
      <c r="D76" s="31">
        <f>IF($C76="","",IFERROR(VLOOKUP($C76,'Base produits'!$B$5:$F$91,5,FALSE),""))</f>
        <v/>
      </c>
      <c r="E76" s="23" t="n"/>
      <c r="F76" s="19">
        <f>IF($C76="","",IFERROR(IF(VLOOKUP($C76,'Base produits'!$B$5:$H$91,7,FALSE)="","",VLOOKUP($C76,'Base produits'!$B$5:$H$91,7,FALSE)),""))</f>
        <v/>
      </c>
      <c r="G76" s="21">
        <f>IF(OR($C76="",$E76="",$F76=""),"",$E76*$F76)</f>
        <v/>
      </c>
      <c r="H76" s="29" t="n"/>
    </row>
    <row r="77">
      <c r="A77" s="30" t="n"/>
      <c r="B77" s="29" t="n"/>
      <c r="C77" s="23" t="n"/>
      <c r="D77" s="31">
        <f>IF($C77="","",IFERROR(VLOOKUP($C77,'Base produits'!$B$5:$F$91,5,FALSE),""))</f>
        <v/>
      </c>
      <c r="E77" s="23" t="n"/>
      <c r="F77" s="19">
        <f>IF($C77="","",IFERROR(IF(VLOOKUP($C77,'Base produits'!$B$5:$H$91,7,FALSE)="","",VLOOKUP($C77,'Base produits'!$B$5:$H$91,7,FALSE)),""))</f>
        <v/>
      </c>
      <c r="G77" s="21">
        <f>IF(OR($C77="",$E77="",$F77=""),"",$E77*$F77)</f>
        <v/>
      </c>
      <c r="H77" s="29" t="n"/>
    </row>
    <row r="78">
      <c r="A78" s="30" t="n"/>
      <c r="B78" s="29" t="n"/>
      <c r="C78" s="23" t="n"/>
      <c r="D78" s="31">
        <f>IF($C78="","",IFERROR(VLOOKUP($C78,'Base produits'!$B$5:$F$91,5,FALSE),""))</f>
        <v/>
      </c>
      <c r="E78" s="23" t="n"/>
      <c r="F78" s="19">
        <f>IF($C78="","",IFERROR(IF(VLOOKUP($C78,'Base produits'!$B$5:$H$91,7,FALSE)="","",VLOOKUP($C78,'Base produits'!$B$5:$H$91,7,FALSE)),""))</f>
        <v/>
      </c>
      <c r="G78" s="21">
        <f>IF(OR($C78="",$E78="",$F78=""),"",$E78*$F78)</f>
        <v/>
      </c>
      <c r="H78" s="29" t="n"/>
    </row>
    <row r="79">
      <c r="A79" s="30" t="n"/>
      <c r="B79" s="29" t="n"/>
      <c r="C79" s="23" t="n"/>
      <c r="D79" s="31">
        <f>IF($C79="","",IFERROR(VLOOKUP($C79,'Base produits'!$B$5:$F$91,5,FALSE),""))</f>
        <v/>
      </c>
      <c r="E79" s="23" t="n"/>
      <c r="F79" s="19">
        <f>IF($C79="","",IFERROR(IF(VLOOKUP($C79,'Base produits'!$B$5:$H$91,7,FALSE)="","",VLOOKUP($C79,'Base produits'!$B$5:$H$91,7,FALSE)),""))</f>
        <v/>
      </c>
      <c r="G79" s="21">
        <f>IF(OR($C79="",$E79="",$F79=""),"",$E79*$F79)</f>
        <v/>
      </c>
      <c r="H79" s="29" t="n"/>
    </row>
    <row r="80">
      <c r="A80" s="30" t="n"/>
      <c r="B80" s="29" t="n"/>
      <c r="C80" s="23" t="n"/>
      <c r="D80" s="31">
        <f>IF($C80="","",IFERROR(VLOOKUP($C80,'Base produits'!$B$5:$F$91,5,FALSE),""))</f>
        <v/>
      </c>
      <c r="E80" s="23" t="n"/>
      <c r="F80" s="19">
        <f>IF($C80="","",IFERROR(IF(VLOOKUP($C80,'Base produits'!$B$5:$H$91,7,FALSE)="","",VLOOKUP($C80,'Base produits'!$B$5:$H$91,7,FALSE)),""))</f>
        <v/>
      </c>
      <c r="G80" s="21">
        <f>IF(OR($C80="",$E80="",$F80=""),"",$E80*$F80)</f>
        <v/>
      </c>
      <c r="H80" s="29" t="n"/>
    </row>
    <row r="81">
      <c r="A81" s="30" t="n"/>
      <c r="B81" s="29" t="n"/>
      <c r="C81" s="23" t="n"/>
      <c r="D81" s="31">
        <f>IF($C81="","",IFERROR(VLOOKUP($C81,'Base produits'!$B$5:$F$91,5,FALSE),""))</f>
        <v/>
      </c>
      <c r="E81" s="23" t="n"/>
      <c r="F81" s="19">
        <f>IF($C81="","",IFERROR(IF(VLOOKUP($C81,'Base produits'!$B$5:$H$91,7,FALSE)="","",VLOOKUP($C81,'Base produits'!$B$5:$H$91,7,FALSE)),""))</f>
        <v/>
      </c>
      <c r="G81" s="21">
        <f>IF(OR($C81="",$E81="",$F81=""),"",$E81*$F81)</f>
        <v/>
      </c>
      <c r="H81" s="29" t="n"/>
    </row>
    <row r="82">
      <c r="A82" s="30" t="n"/>
      <c r="B82" s="29" t="n"/>
      <c r="C82" s="23" t="n"/>
      <c r="D82" s="31">
        <f>IF($C82="","",IFERROR(VLOOKUP($C82,'Base produits'!$B$5:$F$91,5,FALSE),""))</f>
        <v/>
      </c>
      <c r="E82" s="23" t="n"/>
      <c r="F82" s="19">
        <f>IF($C82="","",IFERROR(IF(VLOOKUP($C82,'Base produits'!$B$5:$H$91,7,FALSE)="","",VLOOKUP($C82,'Base produits'!$B$5:$H$91,7,FALSE)),""))</f>
        <v/>
      </c>
      <c r="G82" s="21">
        <f>IF(OR($C82="",$E82="",$F82=""),"",$E82*$F82)</f>
        <v/>
      </c>
      <c r="H82" s="29" t="n"/>
    </row>
    <row r="83">
      <c r="A83" s="30" t="n"/>
      <c r="B83" s="29" t="n"/>
      <c r="C83" s="23" t="n"/>
      <c r="D83" s="31">
        <f>IF($C83="","",IFERROR(VLOOKUP($C83,'Base produits'!$B$5:$F$91,5,FALSE),""))</f>
        <v/>
      </c>
      <c r="E83" s="23" t="n"/>
      <c r="F83" s="19">
        <f>IF($C83="","",IFERROR(IF(VLOOKUP($C83,'Base produits'!$B$5:$H$91,7,FALSE)="","",VLOOKUP($C83,'Base produits'!$B$5:$H$91,7,FALSE)),""))</f>
        <v/>
      </c>
      <c r="G83" s="21">
        <f>IF(OR($C83="",$E83="",$F83=""),"",$E83*$F83)</f>
        <v/>
      </c>
      <c r="H83" s="29" t="n"/>
    </row>
    <row r="84">
      <c r="A84" s="30" t="n"/>
      <c r="B84" s="29" t="n"/>
      <c r="C84" s="23" t="n"/>
      <c r="D84" s="31">
        <f>IF($C84="","",IFERROR(VLOOKUP($C84,'Base produits'!$B$5:$F$91,5,FALSE),""))</f>
        <v/>
      </c>
      <c r="E84" s="23" t="n"/>
      <c r="F84" s="19">
        <f>IF($C84="","",IFERROR(IF(VLOOKUP($C84,'Base produits'!$B$5:$H$91,7,FALSE)="","",VLOOKUP($C84,'Base produits'!$B$5:$H$91,7,FALSE)),""))</f>
        <v/>
      </c>
      <c r="G84" s="21">
        <f>IF(OR($C84="",$E84="",$F84=""),"",$E84*$F84)</f>
        <v/>
      </c>
      <c r="H84" s="29" t="n"/>
    </row>
    <row r="85">
      <c r="A85" s="30" t="n"/>
      <c r="B85" s="29" t="n"/>
      <c r="C85" s="23" t="n"/>
      <c r="D85" s="31">
        <f>IF($C85="","",IFERROR(VLOOKUP($C85,'Base produits'!$B$5:$F$91,5,FALSE),""))</f>
        <v/>
      </c>
      <c r="E85" s="23" t="n"/>
      <c r="F85" s="19">
        <f>IF($C85="","",IFERROR(IF(VLOOKUP($C85,'Base produits'!$B$5:$H$91,7,FALSE)="","",VLOOKUP($C85,'Base produits'!$B$5:$H$91,7,FALSE)),""))</f>
        <v/>
      </c>
      <c r="G85" s="21">
        <f>IF(OR($C85="",$E85="",$F85=""),"",$E85*$F85)</f>
        <v/>
      </c>
      <c r="H85" s="29" t="n"/>
    </row>
    <row r="86">
      <c r="A86" s="30" t="n"/>
      <c r="B86" s="29" t="n"/>
      <c r="C86" s="23" t="n"/>
      <c r="D86" s="31">
        <f>IF($C86="","",IFERROR(VLOOKUP($C86,'Base produits'!$B$5:$F$91,5,FALSE),""))</f>
        <v/>
      </c>
      <c r="E86" s="23" t="n"/>
      <c r="F86" s="19">
        <f>IF($C86="","",IFERROR(IF(VLOOKUP($C86,'Base produits'!$B$5:$H$91,7,FALSE)="","",VLOOKUP($C86,'Base produits'!$B$5:$H$91,7,FALSE)),""))</f>
        <v/>
      </c>
      <c r="G86" s="21">
        <f>IF(OR($C86="",$E86="",$F86=""),"",$E86*$F86)</f>
        <v/>
      </c>
      <c r="H86" s="29" t="n"/>
    </row>
    <row r="87">
      <c r="A87" s="30" t="n"/>
      <c r="B87" s="29" t="n"/>
      <c r="C87" s="23" t="n"/>
      <c r="D87" s="31">
        <f>IF($C87="","",IFERROR(VLOOKUP($C87,'Base produits'!$B$5:$F$91,5,FALSE),""))</f>
        <v/>
      </c>
      <c r="E87" s="23" t="n"/>
      <c r="F87" s="19">
        <f>IF($C87="","",IFERROR(IF(VLOOKUP($C87,'Base produits'!$B$5:$H$91,7,FALSE)="","",VLOOKUP($C87,'Base produits'!$B$5:$H$91,7,FALSE)),""))</f>
        <v/>
      </c>
      <c r="G87" s="21">
        <f>IF(OR($C87="",$E87="",$F87=""),"",$E87*$F87)</f>
        <v/>
      </c>
      <c r="H87" s="29" t="n"/>
    </row>
    <row r="88">
      <c r="A88" s="30" t="n"/>
      <c r="B88" s="29" t="n"/>
      <c r="C88" s="23" t="n"/>
      <c r="D88" s="31">
        <f>IF($C88="","",IFERROR(VLOOKUP($C88,'Base produits'!$B$5:$F$91,5,FALSE),""))</f>
        <v/>
      </c>
      <c r="E88" s="23" t="n"/>
      <c r="F88" s="19">
        <f>IF($C88="","",IFERROR(IF(VLOOKUP($C88,'Base produits'!$B$5:$H$91,7,FALSE)="","",VLOOKUP($C88,'Base produits'!$B$5:$H$91,7,FALSE)),""))</f>
        <v/>
      </c>
      <c r="G88" s="21">
        <f>IF(OR($C88="",$E88="",$F88=""),"",$E88*$F88)</f>
        <v/>
      </c>
      <c r="H88" s="29" t="n"/>
    </row>
    <row r="89">
      <c r="A89" s="30" t="n"/>
      <c r="B89" s="29" t="n"/>
      <c r="C89" s="23" t="n"/>
      <c r="D89" s="31">
        <f>IF($C89="","",IFERROR(VLOOKUP($C89,'Base produits'!$B$5:$F$91,5,FALSE),""))</f>
        <v/>
      </c>
      <c r="E89" s="23" t="n"/>
      <c r="F89" s="19">
        <f>IF($C89="","",IFERROR(IF(VLOOKUP($C89,'Base produits'!$B$5:$H$91,7,FALSE)="","",VLOOKUP($C89,'Base produits'!$B$5:$H$91,7,FALSE)),""))</f>
        <v/>
      </c>
      <c r="G89" s="21">
        <f>IF(OR($C89="",$E89="",$F89=""),"",$E89*$F89)</f>
        <v/>
      </c>
      <c r="H89" s="29" t="n"/>
    </row>
    <row r="90">
      <c r="A90" s="30" t="n"/>
      <c r="B90" s="29" t="n"/>
      <c r="C90" s="23" t="n"/>
      <c r="D90" s="31">
        <f>IF($C90="","",IFERROR(VLOOKUP($C90,'Base produits'!$B$5:$F$91,5,FALSE),""))</f>
        <v/>
      </c>
      <c r="E90" s="23" t="n"/>
      <c r="F90" s="19">
        <f>IF($C90="","",IFERROR(IF(VLOOKUP($C90,'Base produits'!$B$5:$H$91,7,FALSE)="","",VLOOKUP($C90,'Base produits'!$B$5:$H$91,7,FALSE)),""))</f>
        <v/>
      </c>
      <c r="G90" s="21">
        <f>IF(OR($C90="",$E90="",$F90=""),"",$E90*$F90)</f>
        <v/>
      </c>
      <c r="H90" s="29" t="n"/>
    </row>
    <row r="91">
      <c r="A91" s="30" t="n"/>
      <c r="B91" s="29" t="n"/>
      <c r="C91" s="23" t="n"/>
      <c r="D91" s="31">
        <f>IF($C91="","",IFERROR(VLOOKUP($C91,'Base produits'!$B$5:$F$91,5,FALSE),""))</f>
        <v/>
      </c>
      <c r="E91" s="23" t="n"/>
      <c r="F91" s="19">
        <f>IF($C91="","",IFERROR(IF(VLOOKUP($C91,'Base produits'!$B$5:$H$91,7,FALSE)="","",VLOOKUP($C91,'Base produits'!$B$5:$H$91,7,FALSE)),""))</f>
        <v/>
      </c>
      <c r="G91" s="21">
        <f>IF(OR($C91="",$E91="",$F91=""),"",$E91*$F91)</f>
        <v/>
      </c>
      <c r="H91" s="29" t="n"/>
    </row>
    <row r="92">
      <c r="A92" s="30" t="n"/>
      <c r="B92" s="29" t="n"/>
      <c r="C92" s="23" t="n"/>
      <c r="D92" s="31">
        <f>IF($C92="","",IFERROR(VLOOKUP($C92,'Base produits'!$B$5:$F$91,5,FALSE),""))</f>
        <v/>
      </c>
      <c r="E92" s="23" t="n"/>
      <c r="F92" s="19">
        <f>IF($C92="","",IFERROR(IF(VLOOKUP($C92,'Base produits'!$B$5:$H$91,7,FALSE)="","",VLOOKUP($C92,'Base produits'!$B$5:$H$91,7,FALSE)),""))</f>
        <v/>
      </c>
      <c r="G92" s="21">
        <f>IF(OR($C92="",$E92="",$F92=""),"",$E92*$F92)</f>
        <v/>
      </c>
      <c r="H92" s="29" t="n"/>
    </row>
    <row r="93">
      <c r="A93" s="30" t="n"/>
      <c r="B93" s="29" t="n"/>
      <c r="C93" s="23" t="n"/>
      <c r="D93" s="31">
        <f>IF($C93="","",IFERROR(VLOOKUP($C93,'Base produits'!$B$5:$F$91,5,FALSE),""))</f>
        <v/>
      </c>
      <c r="E93" s="23" t="n"/>
      <c r="F93" s="19">
        <f>IF($C93="","",IFERROR(IF(VLOOKUP($C93,'Base produits'!$B$5:$H$91,7,FALSE)="","",VLOOKUP($C93,'Base produits'!$B$5:$H$91,7,FALSE)),""))</f>
        <v/>
      </c>
      <c r="G93" s="21">
        <f>IF(OR($C93="",$E93="",$F93=""),"",$E93*$F93)</f>
        <v/>
      </c>
      <c r="H93" s="29" t="n"/>
    </row>
    <row r="94">
      <c r="A94" s="30" t="n"/>
      <c r="B94" s="29" t="n"/>
      <c r="C94" s="23" t="n"/>
      <c r="D94" s="31">
        <f>IF($C94="","",IFERROR(VLOOKUP($C94,'Base produits'!$B$5:$F$91,5,FALSE),""))</f>
        <v/>
      </c>
      <c r="E94" s="23" t="n"/>
      <c r="F94" s="19">
        <f>IF($C94="","",IFERROR(IF(VLOOKUP($C94,'Base produits'!$B$5:$H$91,7,FALSE)="","",VLOOKUP($C94,'Base produits'!$B$5:$H$91,7,FALSE)),""))</f>
        <v/>
      </c>
      <c r="G94" s="21">
        <f>IF(OR($C94="",$E94="",$F94=""),"",$E94*$F94)</f>
        <v/>
      </c>
      <c r="H94" s="29" t="n"/>
    </row>
    <row r="95">
      <c r="A95" s="30" t="n"/>
      <c r="B95" s="29" t="n"/>
      <c r="C95" s="23" t="n"/>
      <c r="D95" s="31">
        <f>IF($C95="","",IFERROR(VLOOKUP($C95,'Base produits'!$B$5:$F$91,5,FALSE),""))</f>
        <v/>
      </c>
      <c r="E95" s="23" t="n"/>
      <c r="F95" s="19">
        <f>IF($C95="","",IFERROR(IF(VLOOKUP($C95,'Base produits'!$B$5:$H$91,7,FALSE)="","",VLOOKUP($C95,'Base produits'!$B$5:$H$91,7,FALSE)),""))</f>
        <v/>
      </c>
      <c r="G95" s="21">
        <f>IF(OR($C95="",$E95="",$F95=""),"",$E95*$F95)</f>
        <v/>
      </c>
      <c r="H95" s="29" t="n"/>
    </row>
    <row r="96">
      <c r="A96" s="30" t="n"/>
      <c r="B96" s="29" t="n"/>
      <c r="C96" s="23" t="n"/>
      <c r="D96" s="31">
        <f>IF($C96="","",IFERROR(VLOOKUP($C96,'Base produits'!$B$5:$F$91,5,FALSE),""))</f>
        <v/>
      </c>
      <c r="E96" s="23" t="n"/>
      <c r="F96" s="19">
        <f>IF($C96="","",IFERROR(IF(VLOOKUP($C96,'Base produits'!$B$5:$H$91,7,FALSE)="","",VLOOKUP($C96,'Base produits'!$B$5:$H$91,7,FALSE)),""))</f>
        <v/>
      </c>
      <c r="G96" s="21">
        <f>IF(OR($C96="",$E96="",$F96=""),"",$E96*$F96)</f>
        <v/>
      </c>
      <c r="H96" s="29" t="n"/>
    </row>
    <row r="97">
      <c r="A97" s="30" t="n"/>
      <c r="B97" s="29" t="n"/>
      <c r="C97" s="23" t="n"/>
      <c r="D97" s="31">
        <f>IF($C97="","",IFERROR(VLOOKUP($C97,'Base produits'!$B$5:$F$91,5,FALSE),""))</f>
        <v/>
      </c>
      <c r="E97" s="23" t="n"/>
      <c r="F97" s="19">
        <f>IF($C97="","",IFERROR(IF(VLOOKUP($C97,'Base produits'!$B$5:$H$91,7,FALSE)="","",VLOOKUP($C97,'Base produits'!$B$5:$H$91,7,FALSE)),""))</f>
        <v/>
      </c>
      <c r="G97" s="21">
        <f>IF(OR($C97="",$E97="",$F97=""),"",$E97*$F97)</f>
        <v/>
      </c>
      <c r="H97" s="29" t="n"/>
    </row>
    <row r="98">
      <c r="A98" s="30" t="n"/>
      <c r="B98" s="29" t="n"/>
      <c r="C98" s="23" t="n"/>
      <c r="D98" s="31">
        <f>IF($C98="","",IFERROR(VLOOKUP($C98,'Base produits'!$B$5:$F$91,5,FALSE),""))</f>
        <v/>
      </c>
      <c r="E98" s="23" t="n"/>
      <c r="F98" s="19">
        <f>IF($C98="","",IFERROR(IF(VLOOKUP($C98,'Base produits'!$B$5:$H$91,7,FALSE)="","",VLOOKUP($C98,'Base produits'!$B$5:$H$91,7,FALSE)),""))</f>
        <v/>
      </c>
      <c r="G98" s="21">
        <f>IF(OR($C98="",$E98="",$F98=""),"",$E98*$F98)</f>
        <v/>
      </c>
      <c r="H98" s="29" t="n"/>
    </row>
    <row r="99">
      <c r="A99" s="30" t="n"/>
      <c r="B99" s="29" t="n"/>
      <c r="C99" s="23" t="n"/>
      <c r="D99" s="31">
        <f>IF($C99="","",IFERROR(VLOOKUP($C99,'Base produits'!$B$5:$F$91,5,FALSE),""))</f>
        <v/>
      </c>
      <c r="E99" s="23" t="n"/>
      <c r="F99" s="19">
        <f>IF($C99="","",IFERROR(IF(VLOOKUP($C99,'Base produits'!$B$5:$H$91,7,FALSE)="","",VLOOKUP($C99,'Base produits'!$B$5:$H$91,7,FALSE)),""))</f>
        <v/>
      </c>
      <c r="G99" s="21">
        <f>IF(OR($C99="",$E99="",$F99=""),"",$E99*$F99)</f>
        <v/>
      </c>
      <c r="H99" s="29" t="n"/>
    </row>
    <row r="100">
      <c r="A100" s="30" t="n"/>
      <c r="B100" s="29" t="n"/>
      <c r="C100" s="23" t="n"/>
      <c r="D100" s="31">
        <f>IF($C100="","",IFERROR(VLOOKUP($C100,'Base produits'!$B$5:$F$91,5,FALSE),""))</f>
        <v/>
      </c>
      <c r="E100" s="23" t="n"/>
      <c r="F100" s="19">
        <f>IF($C100="","",IFERROR(IF(VLOOKUP($C100,'Base produits'!$B$5:$H$91,7,FALSE)="","",VLOOKUP($C100,'Base produits'!$B$5:$H$91,7,FALSE)),""))</f>
        <v/>
      </c>
      <c r="G100" s="21">
        <f>IF(OR($C100="",$E100="",$F100=""),"",$E100*$F100)</f>
        <v/>
      </c>
      <c r="H100" s="29" t="n"/>
    </row>
    <row r="101">
      <c r="A101" s="30" t="n"/>
      <c r="B101" s="29" t="n"/>
      <c r="C101" s="23" t="n"/>
      <c r="D101" s="31">
        <f>IF($C101="","",IFERROR(VLOOKUP($C101,'Base produits'!$B$5:$F$91,5,FALSE),""))</f>
        <v/>
      </c>
      <c r="E101" s="23" t="n"/>
      <c r="F101" s="19">
        <f>IF($C101="","",IFERROR(IF(VLOOKUP($C101,'Base produits'!$B$5:$H$91,7,FALSE)="","",VLOOKUP($C101,'Base produits'!$B$5:$H$91,7,FALSE)),""))</f>
        <v/>
      </c>
      <c r="G101" s="21">
        <f>IF(OR($C101="",$E101="",$F101=""),"",$E101*$F101)</f>
        <v/>
      </c>
      <c r="H101" s="29" t="n"/>
    </row>
    <row r="102">
      <c r="A102" s="30" t="n"/>
      <c r="B102" s="29" t="n"/>
      <c r="C102" s="23" t="n"/>
      <c r="D102" s="31">
        <f>IF($C102="","",IFERROR(VLOOKUP($C102,'Base produits'!$B$5:$F$91,5,FALSE),""))</f>
        <v/>
      </c>
      <c r="E102" s="23" t="n"/>
      <c r="F102" s="19">
        <f>IF($C102="","",IFERROR(IF(VLOOKUP($C102,'Base produits'!$B$5:$H$91,7,FALSE)="","",VLOOKUP($C102,'Base produits'!$B$5:$H$91,7,FALSE)),""))</f>
        <v/>
      </c>
      <c r="G102" s="21">
        <f>IF(OR($C102="",$E102="",$F102=""),"",$E102*$F102)</f>
        <v/>
      </c>
      <c r="H102" s="29" t="n"/>
    </row>
    <row r="103">
      <c r="A103" s="30" t="n"/>
      <c r="B103" s="29" t="n"/>
      <c r="C103" s="23" t="n"/>
      <c r="D103" s="31">
        <f>IF($C103="","",IFERROR(VLOOKUP($C103,'Base produits'!$B$5:$F$91,5,FALSE),""))</f>
        <v/>
      </c>
      <c r="E103" s="23" t="n"/>
      <c r="F103" s="19">
        <f>IF($C103="","",IFERROR(IF(VLOOKUP($C103,'Base produits'!$B$5:$H$91,7,FALSE)="","",VLOOKUP($C103,'Base produits'!$B$5:$H$91,7,FALSE)),""))</f>
        <v/>
      </c>
      <c r="G103" s="21">
        <f>IF(OR($C103="",$E103="",$F103=""),"",$E103*$F103)</f>
        <v/>
      </c>
      <c r="H103" s="29" t="n"/>
    </row>
    <row r="104">
      <c r="A104" s="30" t="n"/>
      <c r="B104" s="29" t="n"/>
      <c r="C104" s="23" t="n"/>
      <c r="D104" s="31">
        <f>IF($C104="","",IFERROR(VLOOKUP($C104,'Base produits'!$B$5:$F$91,5,FALSE),""))</f>
        <v/>
      </c>
      <c r="E104" s="23" t="n"/>
      <c r="F104" s="19">
        <f>IF($C104="","",IFERROR(IF(VLOOKUP($C104,'Base produits'!$B$5:$H$91,7,FALSE)="","",VLOOKUP($C104,'Base produits'!$B$5:$H$91,7,FALSE)),""))</f>
        <v/>
      </c>
      <c r="G104" s="21">
        <f>IF(OR($C104="",$E104="",$F104=""),"",$E104*$F104)</f>
        <v/>
      </c>
      <c r="H104" s="29" t="n"/>
    </row>
    <row r="105">
      <c r="A105" s="30" t="n"/>
      <c r="B105" s="29" t="n"/>
      <c r="C105" s="23" t="n"/>
      <c r="D105" s="31">
        <f>IF($C105="","",IFERROR(VLOOKUP($C105,'Base produits'!$B$5:$F$91,5,FALSE),""))</f>
        <v/>
      </c>
      <c r="E105" s="23" t="n"/>
      <c r="F105" s="19">
        <f>IF($C105="","",IFERROR(IF(VLOOKUP($C105,'Base produits'!$B$5:$H$91,7,FALSE)="","",VLOOKUP($C105,'Base produits'!$B$5:$H$91,7,FALSE)),""))</f>
        <v/>
      </c>
      <c r="G105" s="21">
        <f>IF(OR($C105="",$E105="",$F105=""),"",$E105*$F105)</f>
        <v/>
      </c>
      <c r="H105" s="29" t="n"/>
    </row>
    <row r="106">
      <c r="A106" s="30" t="n"/>
      <c r="B106" s="29" t="n"/>
      <c r="C106" s="23" t="n"/>
      <c r="D106" s="31">
        <f>IF($C106="","",IFERROR(VLOOKUP($C106,'Base produits'!$B$5:$F$91,5,FALSE),""))</f>
        <v/>
      </c>
      <c r="E106" s="23" t="n"/>
      <c r="F106" s="19">
        <f>IF($C106="","",IFERROR(IF(VLOOKUP($C106,'Base produits'!$B$5:$H$91,7,FALSE)="","",VLOOKUP($C106,'Base produits'!$B$5:$H$91,7,FALSE)),""))</f>
        <v/>
      </c>
      <c r="G106" s="21">
        <f>IF(OR($C106="",$E106="",$F106=""),"",$E106*$F106)</f>
        <v/>
      </c>
      <c r="H106" s="29" t="n"/>
    </row>
    <row r="107">
      <c r="A107" s="30" t="n"/>
      <c r="B107" s="29" t="n"/>
      <c r="C107" s="23" t="n"/>
      <c r="D107" s="31">
        <f>IF($C107="","",IFERROR(VLOOKUP($C107,'Base produits'!$B$5:$F$91,5,FALSE),""))</f>
        <v/>
      </c>
      <c r="E107" s="23" t="n"/>
      <c r="F107" s="19">
        <f>IF($C107="","",IFERROR(IF(VLOOKUP($C107,'Base produits'!$B$5:$H$91,7,FALSE)="","",VLOOKUP($C107,'Base produits'!$B$5:$H$91,7,FALSE)),""))</f>
        <v/>
      </c>
      <c r="G107" s="21">
        <f>IF(OR($C107="",$E107="",$F107=""),"",$E107*$F107)</f>
        <v/>
      </c>
      <c r="H107" s="29" t="n"/>
    </row>
    <row r="108">
      <c r="A108" s="30" t="n"/>
      <c r="B108" s="29" t="n"/>
      <c r="C108" s="23" t="n"/>
      <c r="D108" s="31">
        <f>IF($C108="","",IFERROR(VLOOKUP($C108,'Base produits'!$B$5:$F$91,5,FALSE),""))</f>
        <v/>
      </c>
      <c r="E108" s="23" t="n"/>
      <c r="F108" s="19">
        <f>IF($C108="","",IFERROR(IF(VLOOKUP($C108,'Base produits'!$B$5:$H$91,7,FALSE)="","",VLOOKUP($C108,'Base produits'!$B$5:$H$91,7,FALSE)),""))</f>
        <v/>
      </c>
      <c r="G108" s="21">
        <f>IF(OR($C108="",$E108="",$F108=""),"",$E108*$F108)</f>
        <v/>
      </c>
      <c r="H108" s="29" t="n"/>
    </row>
    <row r="109">
      <c r="A109" s="30" t="n"/>
      <c r="B109" s="29" t="n"/>
      <c r="C109" s="23" t="n"/>
      <c r="D109" s="31">
        <f>IF($C109="","",IFERROR(VLOOKUP($C109,'Base produits'!$B$5:$F$91,5,FALSE),""))</f>
        <v/>
      </c>
      <c r="E109" s="23" t="n"/>
      <c r="F109" s="19">
        <f>IF($C109="","",IFERROR(IF(VLOOKUP($C109,'Base produits'!$B$5:$H$91,7,FALSE)="","",VLOOKUP($C109,'Base produits'!$B$5:$H$91,7,FALSE)),""))</f>
        <v/>
      </c>
      <c r="G109" s="21">
        <f>IF(OR($C109="",$E109="",$F109=""),"",$E109*$F109)</f>
        <v/>
      </c>
      <c r="H109" s="29" t="n"/>
    </row>
    <row r="110">
      <c r="A110" s="30" t="n"/>
      <c r="B110" s="29" t="n"/>
      <c r="C110" s="23" t="n"/>
      <c r="D110" s="31">
        <f>IF($C110="","",IFERROR(VLOOKUP($C110,'Base produits'!$B$5:$F$91,5,FALSE),""))</f>
        <v/>
      </c>
      <c r="E110" s="23" t="n"/>
      <c r="F110" s="19">
        <f>IF($C110="","",IFERROR(IF(VLOOKUP($C110,'Base produits'!$B$5:$H$91,7,FALSE)="","",VLOOKUP($C110,'Base produits'!$B$5:$H$91,7,FALSE)),""))</f>
        <v/>
      </c>
      <c r="G110" s="21">
        <f>IF(OR($C110="",$E110="",$F110=""),"",$E110*$F110)</f>
        <v/>
      </c>
      <c r="H110" s="29" t="n"/>
    </row>
    <row r="111">
      <c r="A111" s="30" t="n"/>
      <c r="B111" s="29" t="n"/>
      <c r="C111" s="23" t="n"/>
      <c r="D111" s="31">
        <f>IF($C111="","",IFERROR(VLOOKUP($C111,'Base produits'!$B$5:$F$91,5,FALSE),""))</f>
        <v/>
      </c>
      <c r="E111" s="23" t="n"/>
      <c r="F111" s="19">
        <f>IF($C111="","",IFERROR(IF(VLOOKUP($C111,'Base produits'!$B$5:$H$91,7,FALSE)="","",VLOOKUP($C111,'Base produits'!$B$5:$H$91,7,FALSE)),""))</f>
        <v/>
      </c>
      <c r="G111" s="21">
        <f>IF(OR($C111="",$E111="",$F111=""),"",$E111*$F111)</f>
        <v/>
      </c>
      <c r="H111" s="29" t="n"/>
    </row>
    <row r="112">
      <c r="A112" s="30" t="n"/>
      <c r="B112" s="29" t="n"/>
      <c r="C112" s="23" t="n"/>
      <c r="D112" s="31">
        <f>IF($C112="","",IFERROR(VLOOKUP($C112,'Base produits'!$B$5:$F$91,5,FALSE),""))</f>
        <v/>
      </c>
      <c r="E112" s="23" t="n"/>
      <c r="F112" s="19">
        <f>IF($C112="","",IFERROR(IF(VLOOKUP($C112,'Base produits'!$B$5:$H$91,7,FALSE)="","",VLOOKUP($C112,'Base produits'!$B$5:$H$91,7,FALSE)),""))</f>
        <v/>
      </c>
      <c r="G112" s="21">
        <f>IF(OR($C112="",$E112="",$F112=""),"",$E112*$F112)</f>
        <v/>
      </c>
      <c r="H112" s="29" t="n"/>
    </row>
    <row r="113">
      <c r="A113" s="30" t="n"/>
      <c r="B113" s="29" t="n"/>
      <c r="C113" s="23" t="n"/>
      <c r="D113" s="31">
        <f>IF($C113="","",IFERROR(VLOOKUP($C113,'Base produits'!$B$5:$F$91,5,FALSE),""))</f>
        <v/>
      </c>
      <c r="E113" s="23" t="n"/>
      <c r="F113" s="19">
        <f>IF($C113="","",IFERROR(IF(VLOOKUP($C113,'Base produits'!$B$5:$H$91,7,FALSE)="","",VLOOKUP($C113,'Base produits'!$B$5:$H$91,7,FALSE)),""))</f>
        <v/>
      </c>
      <c r="G113" s="21">
        <f>IF(OR($C113="",$E113="",$F113=""),"",$E113*$F113)</f>
        <v/>
      </c>
      <c r="H113" s="29" t="n"/>
    </row>
    <row r="114">
      <c r="A114" s="30" t="n"/>
      <c r="B114" s="29" t="n"/>
      <c r="C114" s="23" t="n"/>
      <c r="D114" s="31">
        <f>IF($C114="","",IFERROR(VLOOKUP($C114,'Base produits'!$B$5:$F$91,5,FALSE),""))</f>
        <v/>
      </c>
      <c r="E114" s="23" t="n"/>
      <c r="F114" s="19">
        <f>IF($C114="","",IFERROR(IF(VLOOKUP($C114,'Base produits'!$B$5:$H$91,7,FALSE)="","",VLOOKUP($C114,'Base produits'!$B$5:$H$91,7,FALSE)),""))</f>
        <v/>
      </c>
      <c r="G114" s="21">
        <f>IF(OR($C114="",$E114="",$F114=""),"",$E114*$F114)</f>
        <v/>
      </c>
      <c r="H114" s="29" t="n"/>
    </row>
    <row r="115">
      <c r="A115" s="30" t="n"/>
      <c r="B115" s="29" t="n"/>
      <c r="C115" s="23" t="n"/>
      <c r="D115" s="31">
        <f>IF($C115="","",IFERROR(VLOOKUP($C115,'Base produits'!$B$5:$F$91,5,FALSE),""))</f>
        <v/>
      </c>
      <c r="E115" s="23" t="n"/>
      <c r="F115" s="19">
        <f>IF($C115="","",IFERROR(IF(VLOOKUP($C115,'Base produits'!$B$5:$H$91,7,FALSE)="","",VLOOKUP($C115,'Base produits'!$B$5:$H$91,7,FALSE)),""))</f>
        <v/>
      </c>
      <c r="G115" s="21">
        <f>IF(OR($C115="",$E115="",$F115=""),"",$E115*$F115)</f>
        <v/>
      </c>
      <c r="H115" s="29" t="n"/>
    </row>
    <row r="116">
      <c r="A116" s="30" t="n"/>
      <c r="B116" s="29" t="n"/>
      <c r="C116" s="23" t="n"/>
      <c r="D116" s="31">
        <f>IF($C116="","",IFERROR(VLOOKUP($C116,'Base produits'!$B$5:$F$91,5,FALSE),""))</f>
        <v/>
      </c>
      <c r="E116" s="23" t="n"/>
      <c r="F116" s="19">
        <f>IF($C116="","",IFERROR(IF(VLOOKUP($C116,'Base produits'!$B$5:$H$91,7,FALSE)="","",VLOOKUP($C116,'Base produits'!$B$5:$H$91,7,FALSE)),""))</f>
        <v/>
      </c>
      <c r="G116" s="21">
        <f>IF(OR($C116="",$E116="",$F116=""),"",$E116*$F116)</f>
        <v/>
      </c>
      <c r="H116" s="29" t="n"/>
    </row>
    <row r="117">
      <c r="A117" s="30" t="n"/>
      <c r="B117" s="29" t="n"/>
      <c r="C117" s="23" t="n"/>
      <c r="D117" s="31">
        <f>IF($C117="","",IFERROR(VLOOKUP($C117,'Base produits'!$B$5:$F$91,5,FALSE),""))</f>
        <v/>
      </c>
      <c r="E117" s="23" t="n"/>
      <c r="F117" s="19">
        <f>IF($C117="","",IFERROR(IF(VLOOKUP($C117,'Base produits'!$B$5:$H$91,7,FALSE)="","",VLOOKUP($C117,'Base produits'!$B$5:$H$91,7,FALSE)),""))</f>
        <v/>
      </c>
      <c r="G117" s="21">
        <f>IF(OR($C117="",$E117="",$F117=""),"",$E117*$F117)</f>
        <v/>
      </c>
      <c r="H117" s="29" t="n"/>
    </row>
    <row r="118">
      <c r="A118" s="30" t="n"/>
      <c r="B118" s="29" t="n"/>
      <c r="C118" s="23" t="n"/>
      <c r="D118" s="31">
        <f>IF($C118="","",IFERROR(VLOOKUP($C118,'Base produits'!$B$5:$F$91,5,FALSE),""))</f>
        <v/>
      </c>
      <c r="E118" s="23" t="n"/>
      <c r="F118" s="19">
        <f>IF($C118="","",IFERROR(IF(VLOOKUP($C118,'Base produits'!$B$5:$H$91,7,FALSE)="","",VLOOKUP($C118,'Base produits'!$B$5:$H$91,7,FALSE)),""))</f>
        <v/>
      </c>
      <c r="G118" s="21">
        <f>IF(OR($C118="",$E118="",$F118=""),"",$E118*$F118)</f>
        <v/>
      </c>
      <c r="H118" s="29" t="n"/>
    </row>
    <row r="119">
      <c r="A119" s="30" t="n"/>
      <c r="B119" s="29" t="n"/>
      <c r="C119" s="23" t="n"/>
      <c r="D119" s="31">
        <f>IF($C119="","",IFERROR(VLOOKUP($C119,'Base produits'!$B$5:$F$91,5,FALSE),""))</f>
        <v/>
      </c>
      <c r="E119" s="23" t="n"/>
      <c r="F119" s="19">
        <f>IF($C119="","",IFERROR(IF(VLOOKUP($C119,'Base produits'!$B$5:$H$91,7,FALSE)="","",VLOOKUP($C119,'Base produits'!$B$5:$H$91,7,FALSE)),""))</f>
        <v/>
      </c>
      <c r="G119" s="21">
        <f>IF(OR($C119="",$E119="",$F119=""),"",$E119*$F119)</f>
        <v/>
      </c>
      <c r="H119" s="29" t="n"/>
    </row>
    <row r="120">
      <c r="A120" s="30" t="n"/>
      <c r="B120" s="29" t="n"/>
      <c r="C120" s="23" t="n"/>
      <c r="D120" s="31">
        <f>IF($C120="","",IFERROR(VLOOKUP($C120,'Base produits'!$B$5:$F$91,5,FALSE),""))</f>
        <v/>
      </c>
      <c r="E120" s="23" t="n"/>
      <c r="F120" s="19">
        <f>IF($C120="","",IFERROR(IF(VLOOKUP($C120,'Base produits'!$B$5:$H$91,7,FALSE)="","",VLOOKUP($C120,'Base produits'!$B$5:$H$91,7,FALSE)),""))</f>
        <v/>
      </c>
      <c r="G120" s="21">
        <f>IF(OR($C120="",$E120="",$F120=""),"",$E120*$F120)</f>
        <v/>
      </c>
      <c r="H120" s="29" t="n"/>
    </row>
    <row r="121">
      <c r="A121" s="30" t="n"/>
      <c r="B121" s="29" t="n"/>
      <c r="C121" s="23" t="n"/>
      <c r="D121" s="31">
        <f>IF($C121="","",IFERROR(VLOOKUP($C121,'Base produits'!$B$5:$F$91,5,FALSE),""))</f>
        <v/>
      </c>
      <c r="E121" s="23" t="n"/>
      <c r="F121" s="19">
        <f>IF($C121="","",IFERROR(IF(VLOOKUP($C121,'Base produits'!$B$5:$H$91,7,FALSE)="","",VLOOKUP($C121,'Base produits'!$B$5:$H$91,7,FALSE)),""))</f>
        <v/>
      </c>
      <c r="G121" s="21">
        <f>IF(OR($C121="",$E121="",$F121=""),"",$E121*$F121)</f>
        <v/>
      </c>
      <c r="H121" s="29" t="n"/>
    </row>
    <row r="122">
      <c r="A122" s="30" t="n"/>
      <c r="B122" s="29" t="n"/>
      <c r="C122" s="23" t="n"/>
      <c r="D122" s="31">
        <f>IF($C122="","",IFERROR(VLOOKUP($C122,'Base produits'!$B$5:$F$91,5,FALSE),""))</f>
        <v/>
      </c>
      <c r="E122" s="23" t="n"/>
      <c r="F122" s="19">
        <f>IF($C122="","",IFERROR(IF(VLOOKUP($C122,'Base produits'!$B$5:$H$91,7,FALSE)="","",VLOOKUP($C122,'Base produits'!$B$5:$H$91,7,FALSE)),""))</f>
        <v/>
      </c>
      <c r="G122" s="21">
        <f>IF(OR($C122="",$E122="",$F122=""),"",$E122*$F122)</f>
        <v/>
      </c>
      <c r="H122" s="29" t="n"/>
    </row>
    <row r="123">
      <c r="A123" s="30" t="n"/>
      <c r="B123" s="29" t="n"/>
      <c r="C123" s="23" t="n"/>
      <c r="D123" s="31">
        <f>IF($C123="","",IFERROR(VLOOKUP($C123,'Base produits'!$B$5:$F$91,5,FALSE),""))</f>
        <v/>
      </c>
      <c r="E123" s="23" t="n"/>
      <c r="F123" s="19">
        <f>IF($C123="","",IFERROR(IF(VLOOKUP($C123,'Base produits'!$B$5:$H$91,7,FALSE)="","",VLOOKUP($C123,'Base produits'!$B$5:$H$91,7,FALSE)),""))</f>
        <v/>
      </c>
      <c r="G123" s="21">
        <f>IF(OR($C123="",$E123="",$F123=""),"",$E123*$F123)</f>
        <v/>
      </c>
      <c r="H123" s="29" t="n"/>
    </row>
    <row r="124">
      <c r="A124" s="30" t="n"/>
      <c r="B124" s="29" t="n"/>
      <c r="C124" s="23" t="n"/>
      <c r="D124" s="31">
        <f>IF($C124="","",IFERROR(VLOOKUP($C124,'Base produits'!$B$5:$F$91,5,FALSE),""))</f>
        <v/>
      </c>
      <c r="E124" s="23" t="n"/>
      <c r="F124" s="19">
        <f>IF($C124="","",IFERROR(IF(VLOOKUP($C124,'Base produits'!$B$5:$H$91,7,FALSE)="","",VLOOKUP($C124,'Base produits'!$B$5:$H$91,7,FALSE)),""))</f>
        <v/>
      </c>
      <c r="G124" s="21">
        <f>IF(OR($C124="",$E124="",$F124=""),"",$E124*$F124)</f>
        <v/>
      </c>
      <c r="H124" s="29" t="n"/>
    </row>
    <row r="125">
      <c r="A125" s="30" t="n"/>
      <c r="B125" s="29" t="n"/>
      <c r="C125" s="23" t="n"/>
      <c r="D125" s="31">
        <f>IF($C125="","",IFERROR(VLOOKUP($C125,'Base produits'!$B$5:$F$91,5,FALSE),""))</f>
        <v/>
      </c>
      <c r="E125" s="23" t="n"/>
      <c r="F125" s="19">
        <f>IF($C125="","",IFERROR(IF(VLOOKUP($C125,'Base produits'!$B$5:$H$91,7,FALSE)="","",VLOOKUP($C125,'Base produits'!$B$5:$H$91,7,FALSE)),""))</f>
        <v/>
      </c>
      <c r="G125" s="21">
        <f>IF(OR($C125="",$E125="",$F125=""),"",$E125*$F125)</f>
        <v/>
      </c>
      <c r="H125" s="29" t="n"/>
    </row>
    <row r="126">
      <c r="A126" s="30" t="n"/>
      <c r="B126" s="29" t="n"/>
      <c r="C126" s="23" t="n"/>
      <c r="D126" s="31">
        <f>IF($C126="","",IFERROR(VLOOKUP($C126,'Base produits'!$B$5:$F$91,5,FALSE),""))</f>
        <v/>
      </c>
      <c r="E126" s="23" t="n"/>
      <c r="F126" s="19">
        <f>IF($C126="","",IFERROR(IF(VLOOKUP($C126,'Base produits'!$B$5:$H$91,7,FALSE)="","",VLOOKUP($C126,'Base produits'!$B$5:$H$91,7,FALSE)),""))</f>
        <v/>
      </c>
      <c r="G126" s="21">
        <f>IF(OR($C126="",$E126="",$F126=""),"",$E126*$F126)</f>
        <v/>
      </c>
      <c r="H126" s="29" t="n"/>
    </row>
    <row r="127">
      <c r="A127" s="30" t="n"/>
      <c r="B127" s="29" t="n"/>
      <c r="C127" s="23" t="n"/>
      <c r="D127" s="31">
        <f>IF($C127="","",IFERROR(VLOOKUP($C127,'Base produits'!$B$5:$F$91,5,FALSE),""))</f>
        <v/>
      </c>
      <c r="E127" s="23" t="n"/>
      <c r="F127" s="19">
        <f>IF($C127="","",IFERROR(IF(VLOOKUP($C127,'Base produits'!$B$5:$H$91,7,FALSE)="","",VLOOKUP($C127,'Base produits'!$B$5:$H$91,7,FALSE)),""))</f>
        <v/>
      </c>
      <c r="G127" s="21">
        <f>IF(OR($C127="",$E127="",$F127=""),"",$E127*$F127)</f>
        <v/>
      </c>
      <c r="H127" s="29" t="n"/>
    </row>
    <row r="128">
      <c r="A128" s="30" t="n"/>
      <c r="B128" s="29" t="n"/>
      <c r="C128" s="23" t="n"/>
      <c r="D128" s="31">
        <f>IF($C128="","",IFERROR(VLOOKUP($C128,'Base produits'!$B$5:$F$91,5,FALSE),""))</f>
        <v/>
      </c>
      <c r="E128" s="23" t="n"/>
      <c r="F128" s="19">
        <f>IF($C128="","",IFERROR(IF(VLOOKUP($C128,'Base produits'!$B$5:$H$91,7,FALSE)="","",VLOOKUP($C128,'Base produits'!$B$5:$H$91,7,FALSE)),""))</f>
        <v/>
      </c>
      <c r="G128" s="21">
        <f>IF(OR($C128="",$E128="",$F128=""),"",$E128*$F128)</f>
        <v/>
      </c>
      <c r="H128" s="29" t="n"/>
    </row>
    <row r="129">
      <c r="A129" s="30" t="n"/>
      <c r="B129" s="29" t="n"/>
      <c r="C129" s="23" t="n"/>
      <c r="D129" s="31">
        <f>IF($C129="","",IFERROR(VLOOKUP($C129,'Base produits'!$B$5:$F$91,5,FALSE),""))</f>
        <v/>
      </c>
      <c r="E129" s="23" t="n"/>
      <c r="F129" s="19">
        <f>IF($C129="","",IFERROR(IF(VLOOKUP($C129,'Base produits'!$B$5:$H$91,7,FALSE)="","",VLOOKUP($C129,'Base produits'!$B$5:$H$91,7,FALSE)),""))</f>
        <v/>
      </c>
      <c r="G129" s="21">
        <f>IF(OR($C129="",$E129="",$F129=""),"",$E129*$F129)</f>
        <v/>
      </c>
      <c r="H129" s="29" t="n"/>
    </row>
    <row r="130">
      <c r="A130" s="30" t="n"/>
      <c r="B130" s="29" t="n"/>
      <c r="C130" s="23" t="n"/>
      <c r="D130" s="31">
        <f>IF($C130="","",IFERROR(VLOOKUP($C130,'Base produits'!$B$5:$F$91,5,FALSE),""))</f>
        <v/>
      </c>
      <c r="E130" s="23" t="n"/>
      <c r="F130" s="19">
        <f>IF($C130="","",IFERROR(IF(VLOOKUP($C130,'Base produits'!$B$5:$H$91,7,FALSE)="","",VLOOKUP($C130,'Base produits'!$B$5:$H$91,7,FALSE)),""))</f>
        <v/>
      </c>
      <c r="G130" s="21">
        <f>IF(OR($C130="",$E130="",$F130=""),"",$E130*$F130)</f>
        <v/>
      </c>
      <c r="H130" s="29" t="n"/>
    </row>
    <row r="131">
      <c r="A131" s="30" t="n"/>
      <c r="B131" s="29" t="n"/>
      <c r="C131" s="23" t="n"/>
      <c r="D131" s="31">
        <f>IF($C131="","",IFERROR(VLOOKUP($C131,'Base produits'!$B$5:$F$91,5,FALSE),""))</f>
        <v/>
      </c>
      <c r="E131" s="23" t="n"/>
      <c r="F131" s="19">
        <f>IF($C131="","",IFERROR(IF(VLOOKUP($C131,'Base produits'!$B$5:$H$91,7,FALSE)="","",VLOOKUP($C131,'Base produits'!$B$5:$H$91,7,FALSE)),""))</f>
        <v/>
      </c>
      <c r="G131" s="21">
        <f>IF(OR($C131="",$E131="",$F131=""),"",$E131*$F131)</f>
        <v/>
      </c>
      <c r="H131" s="29" t="n"/>
    </row>
    <row r="132">
      <c r="A132" s="30" t="n"/>
      <c r="B132" s="29" t="n"/>
      <c r="C132" s="23" t="n"/>
      <c r="D132" s="31">
        <f>IF($C132="","",IFERROR(VLOOKUP($C132,'Base produits'!$B$5:$F$91,5,FALSE),""))</f>
        <v/>
      </c>
      <c r="E132" s="23" t="n"/>
      <c r="F132" s="19">
        <f>IF($C132="","",IFERROR(IF(VLOOKUP($C132,'Base produits'!$B$5:$H$91,7,FALSE)="","",VLOOKUP($C132,'Base produits'!$B$5:$H$91,7,FALSE)),""))</f>
        <v/>
      </c>
      <c r="G132" s="21">
        <f>IF(OR($C132="",$E132="",$F132=""),"",$E132*$F132)</f>
        <v/>
      </c>
      <c r="H132" s="29" t="n"/>
    </row>
    <row r="133">
      <c r="A133" s="30" t="n"/>
      <c r="B133" s="29" t="n"/>
      <c r="C133" s="23" t="n"/>
      <c r="D133" s="31">
        <f>IF($C133="","",IFERROR(VLOOKUP($C133,'Base produits'!$B$5:$F$91,5,FALSE),""))</f>
        <v/>
      </c>
      <c r="E133" s="23" t="n"/>
      <c r="F133" s="19">
        <f>IF($C133="","",IFERROR(IF(VLOOKUP($C133,'Base produits'!$B$5:$H$91,7,FALSE)="","",VLOOKUP($C133,'Base produits'!$B$5:$H$91,7,FALSE)),""))</f>
        <v/>
      </c>
      <c r="G133" s="21">
        <f>IF(OR($C133="",$E133="",$F133=""),"",$E133*$F133)</f>
        <v/>
      </c>
      <c r="H133" s="29" t="n"/>
    </row>
    <row r="134">
      <c r="A134" s="30" t="n"/>
      <c r="B134" s="29" t="n"/>
      <c r="C134" s="23" t="n"/>
      <c r="D134" s="31">
        <f>IF($C134="","",IFERROR(VLOOKUP($C134,'Base produits'!$B$5:$F$91,5,FALSE),""))</f>
        <v/>
      </c>
      <c r="E134" s="23" t="n"/>
      <c r="F134" s="19">
        <f>IF($C134="","",IFERROR(IF(VLOOKUP($C134,'Base produits'!$B$5:$H$91,7,FALSE)="","",VLOOKUP($C134,'Base produits'!$B$5:$H$91,7,FALSE)),""))</f>
        <v/>
      </c>
      <c r="G134" s="21">
        <f>IF(OR($C134="",$E134="",$F134=""),"",$E134*$F134)</f>
        <v/>
      </c>
      <c r="H134" s="29" t="n"/>
    </row>
    <row r="135">
      <c r="A135" s="30" t="n"/>
      <c r="B135" s="29" t="n"/>
      <c r="C135" s="23" t="n"/>
      <c r="D135" s="31">
        <f>IF($C135="","",IFERROR(VLOOKUP($C135,'Base produits'!$B$5:$F$91,5,FALSE),""))</f>
        <v/>
      </c>
      <c r="E135" s="23" t="n"/>
      <c r="F135" s="19">
        <f>IF($C135="","",IFERROR(IF(VLOOKUP($C135,'Base produits'!$B$5:$H$91,7,FALSE)="","",VLOOKUP($C135,'Base produits'!$B$5:$H$91,7,FALSE)),""))</f>
        <v/>
      </c>
      <c r="G135" s="21">
        <f>IF(OR($C135="",$E135="",$F135=""),"",$E135*$F135)</f>
        <v/>
      </c>
      <c r="H135" s="29" t="n"/>
    </row>
    <row r="136">
      <c r="A136" s="30" t="n"/>
      <c r="B136" s="29" t="n"/>
      <c r="C136" s="23" t="n"/>
      <c r="D136" s="31">
        <f>IF($C136="","",IFERROR(VLOOKUP($C136,'Base produits'!$B$5:$F$91,5,FALSE),""))</f>
        <v/>
      </c>
      <c r="E136" s="23" t="n"/>
      <c r="F136" s="19">
        <f>IF($C136="","",IFERROR(IF(VLOOKUP($C136,'Base produits'!$B$5:$H$91,7,FALSE)="","",VLOOKUP($C136,'Base produits'!$B$5:$H$91,7,FALSE)),""))</f>
        <v/>
      </c>
      <c r="G136" s="21">
        <f>IF(OR($C136="",$E136="",$F136=""),"",$E136*$F136)</f>
        <v/>
      </c>
      <c r="H136" s="29" t="n"/>
    </row>
    <row r="137">
      <c r="A137" s="30" t="n"/>
      <c r="B137" s="29" t="n"/>
      <c r="C137" s="23" t="n"/>
      <c r="D137" s="31">
        <f>IF($C137="","",IFERROR(VLOOKUP($C137,'Base produits'!$B$5:$F$91,5,FALSE),""))</f>
        <v/>
      </c>
      <c r="E137" s="23" t="n"/>
      <c r="F137" s="19">
        <f>IF($C137="","",IFERROR(IF(VLOOKUP($C137,'Base produits'!$B$5:$H$91,7,FALSE)="","",VLOOKUP($C137,'Base produits'!$B$5:$H$91,7,FALSE)),""))</f>
        <v/>
      </c>
      <c r="G137" s="21">
        <f>IF(OR($C137="",$E137="",$F137=""),"",$E137*$F137)</f>
        <v/>
      </c>
      <c r="H137" s="29" t="n"/>
    </row>
    <row r="138">
      <c r="A138" s="30" t="n"/>
      <c r="B138" s="29" t="n"/>
      <c r="C138" s="23" t="n"/>
      <c r="D138" s="31">
        <f>IF($C138="","",IFERROR(VLOOKUP($C138,'Base produits'!$B$5:$F$91,5,FALSE),""))</f>
        <v/>
      </c>
      <c r="E138" s="23" t="n"/>
      <c r="F138" s="19">
        <f>IF($C138="","",IFERROR(IF(VLOOKUP($C138,'Base produits'!$B$5:$H$91,7,FALSE)="","",VLOOKUP($C138,'Base produits'!$B$5:$H$91,7,FALSE)),""))</f>
        <v/>
      </c>
      <c r="G138" s="21">
        <f>IF(OR($C138="",$E138="",$F138=""),"",$E138*$F138)</f>
        <v/>
      </c>
      <c r="H138" s="29" t="n"/>
    </row>
    <row r="139">
      <c r="A139" s="30" t="n"/>
      <c r="B139" s="29" t="n"/>
      <c r="C139" s="23" t="n"/>
      <c r="D139" s="31">
        <f>IF($C139="","",IFERROR(VLOOKUP($C139,'Base produits'!$B$5:$F$91,5,FALSE),""))</f>
        <v/>
      </c>
      <c r="E139" s="23" t="n"/>
      <c r="F139" s="19">
        <f>IF($C139="","",IFERROR(IF(VLOOKUP($C139,'Base produits'!$B$5:$H$91,7,FALSE)="","",VLOOKUP($C139,'Base produits'!$B$5:$H$91,7,FALSE)),""))</f>
        <v/>
      </c>
      <c r="G139" s="21">
        <f>IF(OR($C139="",$E139="",$F139=""),"",$E139*$F139)</f>
        <v/>
      </c>
      <c r="H139" s="29" t="n"/>
    </row>
    <row r="140">
      <c r="A140" s="30" t="n"/>
      <c r="B140" s="29" t="n"/>
      <c r="C140" s="23" t="n"/>
      <c r="D140" s="31">
        <f>IF($C140="","",IFERROR(VLOOKUP($C140,'Base produits'!$B$5:$F$91,5,FALSE),""))</f>
        <v/>
      </c>
      <c r="E140" s="23" t="n"/>
      <c r="F140" s="19">
        <f>IF($C140="","",IFERROR(IF(VLOOKUP($C140,'Base produits'!$B$5:$H$91,7,FALSE)="","",VLOOKUP($C140,'Base produits'!$B$5:$H$91,7,FALSE)),""))</f>
        <v/>
      </c>
      <c r="G140" s="21">
        <f>IF(OR($C140="",$E140="",$F140=""),"",$E140*$F140)</f>
        <v/>
      </c>
      <c r="H140" s="29" t="n"/>
    </row>
    <row r="141">
      <c r="A141" s="30" t="n"/>
      <c r="B141" s="29" t="n"/>
      <c r="C141" s="23" t="n"/>
      <c r="D141" s="31">
        <f>IF($C141="","",IFERROR(VLOOKUP($C141,'Base produits'!$B$5:$F$91,5,FALSE),""))</f>
        <v/>
      </c>
      <c r="E141" s="23" t="n"/>
      <c r="F141" s="19">
        <f>IF($C141="","",IFERROR(IF(VLOOKUP($C141,'Base produits'!$B$5:$H$91,7,FALSE)="","",VLOOKUP($C141,'Base produits'!$B$5:$H$91,7,FALSE)),""))</f>
        <v/>
      </c>
      <c r="G141" s="21">
        <f>IF(OR($C141="",$E141="",$F141=""),"",$E141*$F141)</f>
        <v/>
      </c>
      <c r="H141" s="29" t="n"/>
    </row>
    <row r="142">
      <c r="A142" s="30" t="n"/>
      <c r="B142" s="29" t="n"/>
      <c r="C142" s="23" t="n"/>
      <c r="D142" s="31">
        <f>IF($C142="","",IFERROR(VLOOKUP($C142,'Base produits'!$B$5:$F$91,5,FALSE),""))</f>
        <v/>
      </c>
      <c r="E142" s="23" t="n"/>
      <c r="F142" s="19">
        <f>IF($C142="","",IFERROR(IF(VLOOKUP($C142,'Base produits'!$B$5:$H$91,7,FALSE)="","",VLOOKUP($C142,'Base produits'!$B$5:$H$91,7,FALSE)),""))</f>
        <v/>
      </c>
      <c r="G142" s="21">
        <f>IF(OR($C142="",$E142="",$F142=""),"",$E142*$F142)</f>
        <v/>
      </c>
      <c r="H142" s="29" t="n"/>
    </row>
    <row r="143">
      <c r="A143" s="30" t="n"/>
      <c r="B143" s="29" t="n"/>
      <c r="C143" s="23" t="n"/>
      <c r="D143" s="31">
        <f>IF($C143="","",IFERROR(VLOOKUP($C143,'Base produits'!$B$5:$F$91,5,FALSE),""))</f>
        <v/>
      </c>
      <c r="E143" s="23" t="n"/>
      <c r="F143" s="19">
        <f>IF($C143="","",IFERROR(IF(VLOOKUP($C143,'Base produits'!$B$5:$H$91,7,FALSE)="","",VLOOKUP($C143,'Base produits'!$B$5:$H$91,7,FALSE)),""))</f>
        <v/>
      </c>
      <c r="G143" s="21">
        <f>IF(OR($C143="",$E143="",$F143=""),"",$E143*$F143)</f>
        <v/>
      </c>
      <c r="H143" s="29" t="n"/>
    </row>
    <row r="144">
      <c r="A144" s="30" t="n"/>
      <c r="B144" s="29" t="n"/>
      <c r="C144" s="23" t="n"/>
      <c r="D144" s="31">
        <f>IF($C144="","",IFERROR(VLOOKUP($C144,'Base produits'!$B$5:$F$91,5,FALSE),""))</f>
        <v/>
      </c>
      <c r="E144" s="23" t="n"/>
      <c r="F144" s="19">
        <f>IF($C144="","",IFERROR(IF(VLOOKUP($C144,'Base produits'!$B$5:$H$91,7,FALSE)="","",VLOOKUP($C144,'Base produits'!$B$5:$H$91,7,FALSE)),""))</f>
        <v/>
      </c>
      <c r="G144" s="21">
        <f>IF(OR($C144="",$E144="",$F144=""),"",$E144*$F144)</f>
        <v/>
      </c>
      <c r="H144" s="29" t="n"/>
    </row>
    <row r="145">
      <c r="A145" s="30" t="n"/>
      <c r="B145" s="29" t="n"/>
      <c r="C145" s="23" t="n"/>
      <c r="D145" s="31">
        <f>IF($C145="","",IFERROR(VLOOKUP($C145,'Base produits'!$B$5:$F$91,5,FALSE),""))</f>
        <v/>
      </c>
      <c r="E145" s="23" t="n"/>
      <c r="F145" s="19">
        <f>IF($C145="","",IFERROR(IF(VLOOKUP($C145,'Base produits'!$B$5:$H$91,7,FALSE)="","",VLOOKUP($C145,'Base produits'!$B$5:$H$91,7,FALSE)),""))</f>
        <v/>
      </c>
      <c r="G145" s="21">
        <f>IF(OR($C145="",$E145="",$F145=""),"",$E145*$F145)</f>
        <v/>
      </c>
      <c r="H145" s="29" t="n"/>
    </row>
    <row r="146">
      <c r="A146" s="30" t="n"/>
      <c r="B146" s="29" t="n"/>
      <c r="C146" s="23" t="n"/>
      <c r="D146" s="31">
        <f>IF($C146="","",IFERROR(VLOOKUP($C146,'Base produits'!$B$5:$F$91,5,FALSE),""))</f>
        <v/>
      </c>
      <c r="E146" s="23" t="n"/>
      <c r="F146" s="19">
        <f>IF($C146="","",IFERROR(IF(VLOOKUP($C146,'Base produits'!$B$5:$H$91,7,FALSE)="","",VLOOKUP($C146,'Base produits'!$B$5:$H$91,7,FALSE)),""))</f>
        <v/>
      </c>
      <c r="G146" s="21">
        <f>IF(OR($C146="",$E146="",$F146=""),"",$E146*$F146)</f>
        <v/>
      </c>
      <c r="H146" s="29" t="n"/>
    </row>
    <row r="147">
      <c r="A147" s="30" t="n"/>
      <c r="B147" s="29" t="n"/>
      <c r="C147" s="23" t="n"/>
      <c r="D147" s="31">
        <f>IF($C147="","",IFERROR(VLOOKUP($C147,'Base produits'!$B$5:$F$91,5,FALSE),""))</f>
        <v/>
      </c>
      <c r="E147" s="23" t="n"/>
      <c r="F147" s="19">
        <f>IF($C147="","",IFERROR(IF(VLOOKUP($C147,'Base produits'!$B$5:$H$91,7,FALSE)="","",VLOOKUP($C147,'Base produits'!$B$5:$H$91,7,FALSE)),""))</f>
        <v/>
      </c>
      <c r="G147" s="21">
        <f>IF(OR($C147="",$E147="",$F147=""),"",$E147*$F147)</f>
        <v/>
      </c>
      <c r="H147" s="29" t="n"/>
    </row>
    <row r="148">
      <c r="A148" s="30" t="n"/>
      <c r="B148" s="29" t="n"/>
      <c r="C148" s="23" t="n"/>
      <c r="D148" s="31">
        <f>IF($C148="","",IFERROR(VLOOKUP($C148,'Base produits'!$B$5:$F$91,5,FALSE),""))</f>
        <v/>
      </c>
      <c r="E148" s="23" t="n"/>
      <c r="F148" s="19">
        <f>IF($C148="","",IFERROR(IF(VLOOKUP($C148,'Base produits'!$B$5:$H$91,7,FALSE)="","",VLOOKUP($C148,'Base produits'!$B$5:$H$91,7,FALSE)),""))</f>
        <v/>
      </c>
      <c r="G148" s="21">
        <f>IF(OR($C148="",$E148="",$F148=""),"",$E148*$F148)</f>
        <v/>
      </c>
      <c r="H148" s="29" t="n"/>
    </row>
    <row r="149">
      <c r="A149" s="30" t="n"/>
      <c r="B149" s="29" t="n"/>
      <c r="C149" s="23" t="n"/>
      <c r="D149" s="31">
        <f>IF($C149="","",IFERROR(VLOOKUP($C149,'Base produits'!$B$5:$F$91,5,FALSE),""))</f>
        <v/>
      </c>
      <c r="E149" s="23" t="n"/>
      <c r="F149" s="19">
        <f>IF($C149="","",IFERROR(IF(VLOOKUP($C149,'Base produits'!$B$5:$H$91,7,FALSE)="","",VLOOKUP($C149,'Base produits'!$B$5:$H$91,7,FALSE)),""))</f>
        <v/>
      </c>
      <c r="G149" s="21">
        <f>IF(OR($C149="",$E149="",$F149=""),"",$E149*$F149)</f>
        <v/>
      </c>
      <c r="H149" s="29" t="n"/>
    </row>
    <row r="150">
      <c r="A150" s="30" t="n"/>
      <c r="B150" s="29" t="n"/>
      <c r="C150" s="23" t="n"/>
      <c r="D150" s="31">
        <f>IF($C150="","",IFERROR(VLOOKUP($C150,'Base produits'!$B$5:$F$91,5,FALSE),""))</f>
        <v/>
      </c>
      <c r="E150" s="23" t="n"/>
      <c r="F150" s="19">
        <f>IF($C150="","",IFERROR(IF(VLOOKUP($C150,'Base produits'!$B$5:$H$91,7,FALSE)="","",VLOOKUP($C150,'Base produits'!$B$5:$H$91,7,FALSE)),""))</f>
        <v/>
      </c>
      <c r="G150" s="21">
        <f>IF(OR($C150="",$E150="",$F150=""),"",$E150*$F150)</f>
        <v/>
      </c>
      <c r="H150" s="29" t="n"/>
    </row>
    <row r="151">
      <c r="A151" s="30" t="n"/>
      <c r="B151" s="29" t="n"/>
      <c r="C151" s="23" t="n"/>
      <c r="D151" s="31">
        <f>IF($C151="","",IFERROR(VLOOKUP($C151,'Base produits'!$B$5:$F$91,5,FALSE),""))</f>
        <v/>
      </c>
      <c r="E151" s="23" t="n"/>
      <c r="F151" s="19">
        <f>IF($C151="","",IFERROR(IF(VLOOKUP($C151,'Base produits'!$B$5:$H$91,7,FALSE)="","",VLOOKUP($C151,'Base produits'!$B$5:$H$91,7,FALSE)),""))</f>
        <v/>
      </c>
      <c r="G151" s="21">
        <f>IF(OR($C151="",$E151="",$F151=""),"",$E151*$F151)</f>
        <v/>
      </c>
      <c r="H151" s="29" t="n"/>
    </row>
    <row r="152">
      <c r="A152" s="30" t="n"/>
      <c r="B152" s="29" t="n"/>
      <c r="C152" s="23" t="n"/>
      <c r="D152" s="31">
        <f>IF($C152="","",IFERROR(VLOOKUP($C152,'Base produits'!$B$5:$F$91,5,FALSE),""))</f>
        <v/>
      </c>
      <c r="E152" s="23" t="n"/>
      <c r="F152" s="19">
        <f>IF($C152="","",IFERROR(IF(VLOOKUP($C152,'Base produits'!$B$5:$H$91,7,FALSE)="","",VLOOKUP($C152,'Base produits'!$B$5:$H$91,7,FALSE)),""))</f>
        <v/>
      </c>
      <c r="G152" s="21">
        <f>IF(OR($C152="",$E152="",$F152=""),"",$E152*$F152)</f>
        <v/>
      </c>
      <c r="H152" s="29" t="n"/>
    </row>
    <row r="153">
      <c r="A153" s="30" t="n"/>
      <c r="B153" s="29" t="n"/>
      <c r="C153" s="23" t="n"/>
      <c r="D153" s="31">
        <f>IF($C153="","",IFERROR(VLOOKUP($C153,'Base produits'!$B$5:$F$91,5,FALSE),""))</f>
        <v/>
      </c>
      <c r="E153" s="23" t="n"/>
      <c r="F153" s="19">
        <f>IF($C153="","",IFERROR(IF(VLOOKUP($C153,'Base produits'!$B$5:$H$91,7,FALSE)="","",VLOOKUP($C153,'Base produits'!$B$5:$H$91,7,FALSE)),""))</f>
        <v/>
      </c>
      <c r="G153" s="21">
        <f>IF(OR($C153="",$E153="",$F153=""),"",$E153*$F153)</f>
        <v/>
      </c>
      <c r="H153" s="29" t="n"/>
    </row>
    <row r="154">
      <c r="A154" s="30" t="n"/>
      <c r="B154" s="29" t="n"/>
      <c r="C154" s="23" t="n"/>
      <c r="D154" s="31">
        <f>IF($C154="","",IFERROR(VLOOKUP($C154,'Base produits'!$B$5:$F$91,5,FALSE),""))</f>
        <v/>
      </c>
      <c r="E154" s="23" t="n"/>
      <c r="F154" s="19">
        <f>IF($C154="","",IFERROR(IF(VLOOKUP($C154,'Base produits'!$B$5:$H$91,7,FALSE)="","",VLOOKUP($C154,'Base produits'!$B$5:$H$91,7,FALSE)),""))</f>
        <v/>
      </c>
      <c r="G154" s="21">
        <f>IF(OR($C154="",$E154="",$F154=""),"",$E154*$F154)</f>
        <v/>
      </c>
      <c r="H154" s="29" t="n"/>
    </row>
    <row r="155">
      <c r="A155" s="30" t="n"/>
      <c r="B155" s="29" t="n"/>
      <c r="C155" s="23" t="n"/>
      <c r="D155" s="31">
        <f>IF($C155="","",IFERROR(VLOOKUP($C155,'Base produits'!$B$5:$F$91,5,FALSE),""))</f>
        <v/>
      </c>
      <c r="E155" s="23" t="n"/>
      <c r="F155" s="19">
        <f>IF($C155="","",IFERROR(IF(VLOOKUP($C155,'Base produits'!$B$5:$H$91,7,FALSE)="","",VLOOKUP($C155,'Base produits'!$B$5:$H$91,7,FALSE)),""))</f>
        <v/>
      </c>
      <c r="G155" s="21">
        <f>IF(OR($C155="",$E155="",$F155=""),"",$E155*$F155)</f>
        <v/>
      </c>
      <c r="H155" s="29" t="n"/>
    </row>
    <row r="156">
      <c r="A156" s="30" t="n"/>
      <c r="B156" s="29" t="n"/>
      <c r="C156" s="23" t="n"/>
      <c r="D156" s="31">
        <f>IF($C156="","",IFERROR(VLOOKUP($C156,'Base produits'!$B$5:$F$91,5,FALSE),""))</f>
        <v/>
      </c>
      <c r="E156" s="23" t="n"/>
      <c r="F156" s="19">
        <f>IF($C156="","",IFERROR(IF(VLOOKUP($C156,'Base produits'!$B$5:$H$91,7,FALSE)="","",VLOOKUP($C156,'Base produits'!$B$5:$H$91,7,FALSE)),""))</f>
        <v/>
      </c>
      <c r="G156" s="21">
        <f>IF(OR($C156="",$E156="",$F156=""),"",$E156*$F156)</f>
        <v/>
      </c>
      <c r="H156" s="29" t="n"/>
    </row>
    <row r="157">
      <c r="A157" s="30" t="n"/>
      <c r="B157" s="29" t="n"/>
      <c r="C157" s="23" t="n"/>
      <c r="D157" s="31">
        <f>IF($C157="","",IFERROR(VLOOKUP($C157,'Base produits'!$B$5:$F$91,5,FALSE),""))</f>
        <v/>
      </c>
      <c r="E157" s="23" t="n"/>
      <c r="F157" s="19">
        <f>IF($C157="","",IFERROR(IF(VLOOKUP($C157,'Base produits'!$B$5:$H$91,7,FALSE)="","",VLOOKUP($C157,'Base produits'!$B$5:$H$91,7,FALSE)),""))</f>
        <v/>
      </c>
      <c r="G157" s="21">
        <f>IF(OR($C157="",$E157="",$F157=""),"",$E157*$F157)</f>
        <v/>
      </c>
      <c r="H157" s="29" t="n"/>
    </row>
    <row r="158">
      <c r="A158" s="30" t="n"/>
      <c r="B158" s="29" t="n"/>
      <c r="C158" s="23" t="n"/>
      <c r="D158" s="31">
        <f>IF($C158="","",IFERROR(VLOOKUP($C158,'Base produits'!$B$5:$F$91,5,FALSE),""))</f>
        <v/>
      </c>
      <c r="E158" s="23" t="n"/>
      <c r="F158" s="19">
        <f>IF($C158="","",IFERROR(IF(VLOOKUP($C158,'Base produits'!$B$5:$H$91,7,FALSE)="","",VLOOKUP($C158,'Base produits'!$B$5:$H$91,7,FALSE)),""))</f>
        <v/>
      </c>
      <c r="G158" s="21">
        <f>IF(OR($C158="",$E158="",$F158=""),"",$E158*$F158)</f>
        <v/>
      </c>
      <c r="H158" s="29" t="n"/>
    </row>
    <row r="159">
      <c r="A159" s="30" t="n"/>
      <c r="B159" s="29" t="n"/>
      <c r="C159" s="23" t="n"/>
      <c r="D159" s="31">
        <f>IF($C159="","",IFERROR(VLOOKUP($C159,'Base produits'!$B$5:$F$91,5,FALSE),""))</f>
        <v/>
      </c>
      <c r="E159" s="23" t="n"/>
      <c r="F159" s="19">
        <f>IF($C159="","",IFERROR(IF(VLOOKUP($C159,'Base produits'!$B$5:$H$91,7,FALSE)="","",VLOOKUP($C159,'Base produits'!$B$5:$H$91,7,FALSE)),""))</f>
        <v/>
      </c>
      <c r="G159" s="21">
        <f>IF(OR($C159="",$E159="",$F159=""),"",$E159*$F159)</f>
        <v/>
      </c>
      <c r="H159" s="29" t="n"/>
    </row>
    <row r="160">
      <c r="A160" s="30" t="n"/>
      <c r="B160" s="29" t="n"/>
      <c r="C160" s="23" t="n"/>
      <c r="D160" s="31">
        <f>IF($C160="","",IFERROR(VLOOKUP($C160,'Base produits'!$B$5:$F$91,5,FALSE),""))</f>
        <v/>
      </c>
      <c r="E160" s="23" t="n"/>
      <c r="F160" s="19">
        <f>IF($C160="","",IFERROR(IF(VLOOKUP($C160,'Base produits'!$B$5:$H$91,7,FALSE)="","",VLOOKUP($C160,'Base produits'!$B$5:$H$91,7,FALSE)),""))</f>
        <v/>
      </c>
      <c r="G160" s="21">
        <f>IF(OR($C160="",$E160="",$F160=""),"",$E160*$F160)</f>
        <v/>
      </c>
      <c r="H160" s="29" t="n"/>
    </row>
    <row r="161">
      <c r="A161" s="30" t="n"/>
      <c r="B161" s="29" t="n"/>
      <c r="C161" s="23" t="n"/>
      <c r="D161" s="31">
        <f>IF($C161="","",IFERROR(VLOOKUP($C161,'Base produits'!$B$5:$F$91,5,FALSE),""))</f>
        <v/>
      </c>
      <c r="E161" s="23" t="n"/>
      <c r="F161" s="19">
        <f>IF($C161="","",IFERROR(IF(VLOOKUP($C161,'Base produits'!$B$5:$H$91,7,FALSE)="","",VLOOKUP($C161,'Base produits'!$B$5:$H$91,7,FALSE)),""))</f>
        <v/>
      </c>
      <c r="G161" s="21">
        <f>IF(OR($C161="",$E161="",$F161=""),"",$E161*$F161)</f>
        <v/>
      </c>
      <c r="H161" s="29" t="n"/>
    </row>
    <row r="162">
      <c r="A162" s="30" t="n"/>
      <c r="B162" s="29" t="n"/>
      <c r="C162" s="23" t="n"/>
      <c r="D162" s="31">
        <f>IF($C162="","",IFERROR(VLOOKUP($C162,'Base produits'!$B$5:$F$91,5,FALSE),""))</f>
        <v/>
      </c>
      <c r="E162" s="23" t="n"/>
      <c r="F162" s="19">
        <f>IF($C162="","",IFERROR(IF(VLOOKUP($C162,'Base produits'!$B$5:$H$91,7,FALSE)="","",VLOOKUP($C162,'Base produits'!$B$5:$H$91,7,FALSE)),""))</f>
        <v/>
      </c>
      <c r="G162" s="21">
        <f>IF(OR($C162="",$E162="",$F162=""),"",$E162*$F162)</f>
        <v/>
      </c>
      <c r="H162" s="29" t="n"/>
    </row>
    <row r="163">
      <c r="A163" s="30" t="n"/>
      <c r="B163" s="29" t="n"/>
      <c r="C163" s="23" t="n"/>
      <c r="D163" s="31">
        <f>IF($C163="","",IFERROR(VLOOKUP($C163,'Base produits'!$B$5:$F$91,5,FALSE),""))</f>
        <v/>
      </c>
      <c r="E163" s="23" t="n"/>
      <c r="F163" s="19">
        <f>IF($C163="","",IFERROR(IF(VLOOKUP($C163,'Base produits'!$B$5:$H$91,7,FALSE)="","",VLOOKUP($C163,'Base produits'!$B$5:$H$91,7,FALSE)),""))</f>
        <v/>
      </c>
      <c r="G163" s="21">
        <f>IF(OR($C163="",$E163="",$F163=""),"",$E163*$F163)</f>
        <v/>
      </c>
      <c r="H163" s="29" t="n"/>
    </row>
    <row r="164">
      <c r="A164" s="30" t="n"/>
      <c r="B164" s="29" t="n"/>
      <c r="C164" s="23" t="n"/>
      <c r="D164" s="31">
        <f>IF($C164="","",IFERROR(VLOOKUP($C164,'Base produits'!$B$5:$F$91,5,FALSE),""))</f>
        <v/>
      </c>
      <c r="E164" s="23" t="n"/>
      <c r="F164" s="19">
        <f>IF($C164="","",IFERROR(IF(VLOOKUP($C164,'Base produits'!$B$5:$H$91,7,FALSE)="","",VLOOKUP($C164,'Base produits'!$B$5:$H$91,7,FALSE)),""))</f>
        <v/>
      </c>
      <c r="G164" s="21">
        <f>IF(OR($C164="",$E164="",$F164=""),"",$E164*$F164)</f>
        <v/>
      </c>
      <c r="H164" s="29" t="n"/>
    </row>
    <row r="165">
      <c r="A165" s="30" t="n"/>
      <c r="B165" s="29" t="n"/>
      <c r="C165" s="23" t="n"/>
      <c r="D165" s="31">
        <f>IF($C165="","",IFERROR(VLOOKUP($C165,'Base produits'!$B$5:$F$91,5,FALSE),""))</f>
        <v/>
      </c>
      <c r="E165" s="23" t="n"/>
      <c r="F165" s="19">
        <f>IF($C165="","",IFERROR(IF(VLOOKUP($C165,'Base produits'!$B$5:$H$91,7,FALSE)="","",VLOOKUP($C165,'Base produits'!$B$5:$H$91,7,FALSE)),""))</f>
        <v/>
      </c>
      <c r="G165" s="21">
        <f>IF(OR($C165="",$E165="",$F165=""),"",$E165*$F165)</f>
        <v/>
      </c>
      <c r="H165" s="29" t="n"/>
    </row>
    <row r="166">
      <c r="A166" s="30" t="n"/>
      <c r="B166" s="29" t="n"/>
      <c r="C166" s="23" t="n"/>
      <c r="D166" s="31">
        <f>IF($C166="","",IFERROR(VLOOKUP($C166,'Base produits'!$B$5:$F$91,5,FALSE),""))</f>
        <v/>
      </c>
      <c r="E166" s="23" t="n"/>
      <c r="F166" s="19">
        <f>IF($C166="","",IFERROR(IF(VLOOKUP($C166,'Base produits'!$B$5:$H$91,7,FALSE)="","",VLOOKUP($C166,'Base produits'!$B$5:$H$91,7,FALSE)),""))</f>
        <v/>
      </c>
      <c r="G166" s="21">
        <f>IF(OR($C166="",$E166="",$F166=""),"",$E166*$F166)</f>
        <v/>
      </c>
      <c r="H166" s="29" t="n"/>
    </row>
    <row r="167">
      <c r="A167" s="30" t="n"/>
      <c r="B167" s="29" t="n"/>
      <c r="C167" s="23" t="n"/>
      <c r="D167" s="31">
        <f>IF($C167="","",IFERROR(VLOOKUP($C167,'Base produits'!$B$5:$F$91,5,FALSE),""))</f>
        <v/>
      </c>
      <c r="E167" s="23" t="n"/>
      <c r="F167" s="19">
        <f>IF($C167="","",IFERROR(IF(VLOOKUP($C167,'Base produits'!$B$5:$H$91,7,FALSE)="","",VLOOKUP($C167,'Base produits'!$B$5:$H$91,7,FALSE)),""))</f>
        <v/>
      </c>
      <c r="G167" s="21">
        <f>IF(OR($C167="",$E167="",$F167=""),"",$E167*$F167)</f>
        <v/>
      </c>
      <c r="H167" s="29" t="n"/>
    </row>
    <row r="168">
      <c r="A168" s="30" t="n"/>
      <c r="B168" s="29" t="n"/>
      <c r="C168" s="23" t="n"/>
      <c r="D168" s="31">
        <f>IF($C168="","",IFERROR(VLOOKUP($C168,'Base produits'!$B$5:$F$91,5,FALSE),""))</f>
        <v/>
      </c>
      <c r="E168" s="23" t="n"/>
      <c r="F168" s="19">
        <f>IF($C168="","",IFERROR(IF(VLOOKUP($C168,'Base produits'!$B$5:$H$91,7,FALSE)="","",VLOOKUP($C168,'Base produits'!$B$5:$H$91,7,FALSE)),""))</f>
        <v/>
      </c>
      <c r="G168" s="21">
        <f>IF(OR($C168="",$E168="",$F168=""),"",$E168*$F168)</f>
        <v/>
      </c>
      <c r="H168" s="29" t="n"/>
    </row>
    <row r="169">
      <c r="A169" s="30" t="n"/>
      <c r="B169" s="29" t="n"/>
      <c r="C169" s="23" t="n"/>
      <c r="D169" s="31">
        <f>IF($C169="","",IFERROR(VLOOKUP($C169,'Base produits'!$B$5:$F$91,5,FALSE),""))</f>
        <v/>
      </c>
      <c r="E169" s="23" t="n"/>
      <c r="F169" s="19">
        <f>IF($C169="","",IFERROR(IF(VLOOKUP($C169,'Base produits'!$B$5:$H$91,7,FALSE)="","",VLOOKUP($C169,'Base produits'!$B$5:$H$91,7,FALSE)),""))</f>
        <v/>
      </c>
      <c r="G169" s="21">
        <f>IF(OR($C169="",$E169="",$F169=""),"",$E169*$F169)</f>
        <v/>
      </c>
      <c r="H169" s="29" t="n"/>
    </row>
    <row r="170">
      <c r="A170" s="30" t="n"/>
      <c r="B170" s="29" t="n"/>
      <c r="C170" s="23" t="n"/>
      <c r="D170" s="31">
        <f>IF($C170="","",IFERROR(VLOOKUP($C170,'Base produits'!$B$5:$F$91,5,FALSE),""))</f>
        <v/>
      </c>
      <c r="E170" s="23" t="n"/>
      <c r="F170" s="19">
        <f>IF($C170="","",IFERROR(IF(VLOOKUP($C170,'Base produits'!$B$5:$H$91,7,FALSE)="","",VLOOKUP($C170,'Base produits'!$B$5:$H$91,7,FALSE)),""))</f>
        <v/>
      </c>
      <c r="G170" s="21">
        <f>IF(OR($C170="",$E170="",$F170=""),"",$E170*$F170)</f>
        <v/>
      </c>
      <c r="H170" s="29" t="n"/>
    </row>
    <row r="171">
      <c r="A171" s="30" t="n"/>
      <c r="B171" s="29" t="n"/>
      <c r="C171" s="23" t="n"/>
      <c r="D171" s="31">
        <f>IF($C171="","",IFERROR(VLOOKUP($C171,'Base produits'!$B$5:$F$91,5,FALSE),""))</f>
        <v/>
      </c>
      <c r="E171" s="23" t="n"/>
      <c r="F171" s="19">
        <f>IF($C171="","",IFERROR(IF(VLOOKUP($C171,'Base produits'!$B$5:$H$91,7,FALSE)="","",VLOOKUP($C171,'Base produits'!$B$5:$H$91,7,FALSE)),""))</f>
        <v/>
      </c>
      <c r="G171" s="21">
        <f>IF(OR($C171="",$E171="",$F171=""),"",$E171*$F171)</f>
        <v/>
      </c>
      <c r="H171" s="29" t="n"/>
    </row>
    <row r="172">
      <c r="A172" s="30" t="n"/>
      <c r="B172" s="29" t="n"/>
      <c r="C172" s="23" t="n"/>
      <c r="D172" s="31">
        <f>IF($C172="","",IFERROR(VLOOKUP($C172,'Base produits'!$B$5:$F$91,5,FALSE),""))</f>
        <v/>
      </c>
      <c r="E172" s="23" t="n"/>
      <c r="F172" s="19">
        <f>IF($C172="","",IFERROR(IF(VLOOKUP($C172,'Base produits'!$B$5:$H$91,7,FALSE)="","",VLOOKUP($C172,'Base produits'!$B$5:$H$91,7,FALSE)),""))</f>
        <v/>
      </c>
      <c r="G172" s="21">
        <f>IF(OR($C172="",$E172="",$F172=""),"",$E172*$F172)</f>
        <v/>
      </c>
      <c r="H172" s="29" t="n"/>
    </row>
    <row r="173">
      <c r="A173" s="30" t="n"/>
      <c r="B173" s="29" t="n"/>
      <c r="C173" s="23" t="n"/>
      <c r="D173" s="31">
        <f>IF($C173="","",IFERROR(VLOOKUP($C173,'Base produits'!$B$5:$F$91,5,FALSE),""))</f>
        <v/>
      </c>
      <c r="E173" s="23" t="n"/>
      <c r="F173" s="19">
        <f>IF($C173="","",IFERROR(IF(VLOOKUP($C173,'Base produits'!$B$5:$H$91,7,FALSE)="","",VLOOKUP($C173,'Base produits'!$B$5:$H$91,7,FALSE)),""))</f>
        <v/>
      </c>
      <c r="G173" s="21">
        <f>IF(OR($C173="",$E173="",$F173=""),"",$E173*$F173)</f>
        <v/>
      </c>
      <c r="H173" s="29" t="n"/>
    </row>
    <row r="174">
      <c r="A174" s="30" t="n"/>
      <c r="B174" s="29" t="n"/>
      <c r="C174" s="23" t="n"/>
      <c r="D174" s="31">
        <f>IF($C174="","",IFERROR(VLOOKUP($C174,'Base produits'!$B$5:$F$91,5,FALSE),""))</f>
        <v/>
      </c>
      <c r="E174" s="23" t="n"/>
      <c r="F174" s="19">
        <f>IF($C174="","",IFERROR(IF(VLOOKUP($C174,'Base produits'!$B$5:$H$91,7,FALSE)="","",VLOOKUP($C174,'Base produits'!$B$5:$H$91,7,FALSE)),""))</f>
        <v/>
      </c>
      <c r="G174" s="21">
        <f>IF(OR($C174="",$E174="",$F174=""),"",$E174*$F174)</f>
        <v/>
      </c>
      <c r="H174" s="29" t="n"/>
    </row>
    <row r="175">
      <c r="A175" s="30" t="n"/>
      <c r="B175" s="29" t="n"/>
      <c r="C175" s="23" t="n"/>
      <c r="D175" s="31">
        <f>IF($C175="","",IFERROR(VLOOKUP($C175,'Base produits'!$B$5:$F$91,5,FALSE),""))</f>
        <v/>
      </c>
      <c r="E175" s="23" t="n"/>
      <c r="F175" s="19">
        <f>IF($C175="","",IFERROR(IF(VLOOKUP($C175,'Base produits'!$B$5:$H$91,7,FALSE)="","",VLOOKUP($C175,'Base produits'!$B$5:$H$91,7,FALSE)),""))</f>
        <v/>
      </c>
      <c r="G175" s="21">
        <f>IF(OR($C175="",$E175="",$F175=""),"",$E175*$F175)</f>
        <v/>
      </c>
      <c r="H175" s="29" t="n"/>
    </row>
    <row r="176">
      <c r="A176" s="30" t="n"/>
      <c r="B176" s="29" t="n"/>
      <c r="C176" s="23" t="n"/>
      <c r="D176" s="31">
        <f>IF($C176="","",IFERROR(VLOOKUP($C176,'Base produits'!$B$5:$F$91,5,FALSE),""))</f>
        <v/>
      </c>
      <c r="E176" s="23" t="n"/>
      <c r="F176" s="19">
        <f>IF($C176="","",IFERROR(IF(VLOOKUP($C176,'Base produits'!$B$5:$H$91,7,FALSE)="","",VLOOKUP($C176,'Base produits'!$B$5:$H$91,7,FALSE)),""))</f>
        <v/>
      </c>
      <c r="G176" s="21">
        <f>IF(OR($C176="",$E176="",$F176=""),"",$E176*$F176)</f>
        <v/>
      </c>
      <c r="H176" s="29" t="n"/>
    </row>
    <row r="177">
      <c r="A177" s="30" t="n"/>
      <c r="B177" s="29" t="n"/>
      <c r="C177" s="23" t="n"/>
      <c r="D177" s="31">
        <f>IF($C177="","",IFERROR(VLOOKUP($C177,'Base produits'!$B$5:$F$91,5,FALSE),""))</f>
        <v/>
      </c>
      <c r="E177" s="23" t="n"/>
      <c r="F177" s="19">
        <f>IF($C177="","",IFERROR(IF(VLOOKUP($C177,'Base produits'!$B$5:$H$91,7,FALSE)="","",VLOOKUP($C177,'Base produits'!$B$5:$H$91,7,FALSE)),""))</f>
        <v/>
      </c>
      <c r="G177" s="21">
        <f>IF(OR($C177="",$E177="",$F177=""),"",$E177*$F177)</f>
        <v/>
      </c>
      <c r="H177" s="29" t="n"/>
    </row>
    <row r="178">
      <c r="A178" s="30" t="n"/>
      <c r="B178" s="29" t="n"/>
      <c r="C178" s="23" t="n"/>
      <c r="D178" s="31">
        <f>IF($C178="","",IFERROR(VLOOKUP($C178,'Base produits'!$B$5:$F$91,5,FALSE),""))</f>
        <v/>
      </c>
      <c r="E178" s="23" t="n"/>
      <c r="F178" s="19">
        <f>IF($C178="","",IFERROR(IF(VLOOKUP($C178,'Base produits'!$B$5:$H$91,7,FALSE)="","",VLOOKUP($C178,'Base produits'!$B$5:$H$91,7,FALSE)),""))</f>
        <v/>
      </c>
      <c r="G178" s="21">
        <f>IF(OR($C178="",$E178="",$F178=""),"",$E178*$F178)</f>
        <v/>
      </c>
      <c r="H178" s="29" t="n"/>
    </row>
    <row r="179">
      <c r="A179" s="30" t="n"/>
      <c r="B179" s="29" t="n"/>
      <c r="C179" s="23" t="n"/>
      <c r="D179" s="31">
        <f>IF($C179="","",IFERROR(VLOOKUP($C179,'Base produits'!$B$5:$F$91,5,FALSE),""))</f>
        <v/>
      </c>
      <c r="E179" s="23" t="n"/>
      <c r="F179" s="19">
        <f>IF($C179="","",IFERROR(IF(VLOOKUP($C179,'Base produits'!$B$5:$H$91,7,FALSE)="","",VLOOKUP($C179,'Base produits'!$B$5:$H$91,7,FALSE)),""))</f>
        <v/>
      </c>
      <c r="G179" s="21">
        <f>IF(OR($C179="",$E179="",$F179=""),"",$E179*$F179)</f>
        <v/>
      </c>
      <c r="H179" s="29" t="n"/>
    </row>
    <row r="180">
      <c r="A180" s="30" t="n"/>
      <c r="B180" s="29" t="n"/>
      <c r="C180" s="23" t="n"/>
      <c r="D180" s="31">
        <f>IF($C180="","",IFERROR(VLOOKUP($C180,'Base produits'!$B$5:$F$91,5,FALSE),""))</f>
        <v/>
      </c>
      <c r="E180" s="23" t="n"/>
      <c r="F180" s="19">
        <f>IF($C180="","",IFERROR(IF(VLOOKUP($C180,'Base produits'!$B$5:$H$91,7,FALSE)="","",VLOOKUP($C180,'Base produits'!$B$5:$H$91,7,FALSE)),""))</f>
        <v/>
      </c>
      <c r="G180" s="21">
        <f>IF(OR($C180="",$E180="",$F180=""),"",$E180*$F180)</f>
        <v/>
      </c>
      <c r="H180" s="29" t="n"/>
    </row>
    <row r="181">
      <c r="A181" s="30" t="n"/>
      <c r="B181" s="29" t="n"/>
      <c r="C181" s="23" t="n"/>
      <c r="D181" s="31">
        <f>IF($C181="","",IFERROR(VLOOKUP($C181,'Base produits'!$B$5:$F$91,5,FALSE),""))</f>
        <v/>
      </c>
      <c r="E181" s="23" t="n"/>
      <c r="F181" s="19">
        <f>IF($C181="","",IFERROR(IF(VLOOKUP($C181,'Base produits'!$B$5:$H$91,7,FALSE)="","",VLOOKUP($C181,'Base produits'!$B$5:$H$91,7,FALSE)),""))</f>
        <v/>
      </c>
      <c r="G181" s="21">
        <f>IF(OR($C181="",$E181="",$F181=""),"",$E181*$F181)</f>
        <v/>
      </c>
      <c r="H181" s="29" t="n"/>
    </row>
    <row r="182">
      <c r="A182" s="30" t="n"/>
      <c r="B182" s="29" t="n"/>
      <c r="C182" s="23" t="n"/>
      <c r="D182" s="31">
        <f>IF($C182="","",IFERROR(VLOOKUP($C182,'Base produits'!$B$5:$F$91,5,FALSE),""))</f>
        <v/>
      </c>
      <c r="E182" s="23" t="n"/>
      <c r="F182" s="19">
        <f>IF($C182="","",IFERROR(IF(VLOOKUP($C182,'Base produits'!$B$5:$H$91,7,FALSE)="","",VLOOKUP($C182,'Base produits'!$B$5:$H$91,7,FALSE)),""))</f>
        <v/>
      </c>
      <c r="G182" s="21">
        <f>IF(OR($C182="",$E182="",$F182=""),"",$E182*$F182)</f>
        <v/>
      </c>
      <c r="H182" s="29" t="n"/>
    </row>
    <row r="183">
      <c r="A183" s="30" t="n"/>
      <c r="B183" s="29" t="n"/>
      <c r="C183" s="23" t="n"/>
      <c r="D183" s="31">
        <f>IF($C183="","",IFERROR(VLOOKUP($C183,'Base produits'!$B$5:$F$91,5,FALSE),""))</f>
        <v/>
      </c>
      <c r="E183" s="23" t="n"/>
      <c r="F183" s="19">
        <f>IF($C183="","",IFERROR(IF(VLOOKUP($C183,'Base produits'!$B$5:$H$91,7,FALSE)="","",VLOOKUP($C183,'Base produits'!$B$5:$H$91,7,FALSE)),""))</f>
        <v/>
      </c>
      <c r="G183" s="21">
        <f>IF(OR($C183="",$E183="",$F183=""),"",$E183*$F183)</f>
        <v/>
      </c>
      <c r="H183" s="29" t="n"/>
    </row>
    <row r="184">
      <c r="A184" s="30" t="n"/>
      <c r="B184" s="29" t="n"/>
      <c r="C184" s="23" t="n"/>
      <c r="D184" s="31">
        <f>IF($C184="","",IFERROR(VLOOKUP($C184,'Base produits'!$B$5:$F$91,5,FALSE),""))</f>
        <v/>
      </c>
      <c r="E184" s="23" t="n"/>
      <c r="F184" s="19">
        <f>IF($C184="","",IFERROR(IF(VLOOKUP($C184,'Base produits'!$B$5:$H$91,7,FALSE)="","",VLOOKUP($C184,'Base produits'!$B$5:$H$91,7,FALSE)),""))</f>
        <v/>
      </c>
      <c r="G184" s="21">
        <f>IF(OR($C184="",$E184="",$F184=""),"",$E184*$F184)</f>
        <v/>
      </c>
      <c r="H184" s="29" t="n"/>
    </row>
    <row r="185">
      <c r="A185" s="30" t="n"/>
      <c r="B185" s="29" t="n"/>
      <c r="C185" s="23" t="n"/>
      <c r="D185" s="31">
        <f>IF($C185="","",IFERROR(VLOOKUP($C185,'Base produits'!$B$5:$F$91,5,FALSE),""))</f>
        <v/>
      </c>
      <c r="E185" s="23" t="n"/>
      <c r="F185" s="19">
        <f>IF($C185="","",IFERROR(IF(VLOOKUP($C185,'Base produits'!$B$5:$H$91,7,FALSE)="","",VLOOKUP($C185,'Base produits'!$B$5:$H$91,7,FALSE)),""))</f>
        <v/>
      </c>
      <c r="G185" s="21">
        <f>IF(OR($C185="",$E185="",$F185=""),"",$E185*$F185)</f>
        <v/>
      </c>
      <c r="H185" s="29" t="n"/>
    </row>
    <row r="186">
      <c r="A186" s="30" t="n"/>
      <c r="B186" s="29" t="n"/>
      <c r="C186" s="23" t="n"/>
      <c r="D186" s="31">
        <f>IF($C186="","",IFERROR(VLOOKUP($C186,'Base produits'!$B$5:$F$91,5,FALSE),""))</f>
        <v/>
      </c>
      <c r="E186" s="23" t="n"/>
      <c r="F186" s="19">
        <f>IF($C186="","",IFERROR(IF(VLOOKUP($C186,'Base produits'!$B$5:$H$91,7,FALSE)="","",VLOOKUP($C186,'Base produits'!$B$5:$H$91,7,FALSE)),""))</f>
        <v/>
      </c>
      <c r="G186" s="21">
        <f>IF(OR($C186="",$E186="",$F186=""),"",$E186*$F186)</f>
        <v/>
      </c>
      <c r="H186" s="29" t="n"/>
    </row>
    <row r="187">
      <c r="A187" s="30" t="n"/>
      <c r="B187" s="29" t="n"/>
      <c r="C187" s="23" t="n"/>
      <c r="D187" s="31">
        <f>IF($C187="","",IFERROR(VLOOKUP($C187,'Base produits'!$B$5:$F$91,5,FALSE),""))</f>
        <v/>
      </c>
      <c r="E187" s="23" t="n"/>
      <c r="F187" s="19">
        <f>IF($C187="","",IFERROR(IF(VLOOKUP($C187,'Base produits'!$B$5:$H$91,7,FALSE)="","",VLOOKUP($C187,'Base produits'!$B$5:$H$91,7,FALSE)),""))</f>
        <v/>
      </c>
      <c r="G187" s="21">
        <f>IF(OR($C187="",$E187="",$F187=""),"",$E187*$F187)</f>
        <v/>
      </c>
      <c r="H187" s="29" t="n"/>
    </row>
    <row r="188">
      <c r="A188" s="30" t="n"/>
      <c r="B188" s="29" t="n"/>
      <c r="C188" s="23" t="n"/>
      <c r="D188" s="31">
        <f>IF($C188="","",IFERROR(VLOOKUP($C188,'Base produits'!$B$5:$F$91,5,FALSE),""))</f>
        <v/>
      </c>
      <c r="E188" s="23" t="n"/>
      <c r="F188" s="19">
        <f>IF($C188="","",IFERROR(IF(VLOOKUP($C188,'Base produits'!$B$5:$H$91,7,FALSE)="","",VLOOKUP($C188,'Base produits'!$B$5:$H$91,7,FALSE)),""))</f>
        <v/>
      </c>
      <c r="G188" s="21">
        <f>IF(OR($C188="",$E188="",$F188=""),"",$E188*$F188)</f>
        <v/>
      </c>
      <c r="H188" s="29" t="n"/>
    </row>
    <row r="189">
      <c r="A189" s="30" t="n"/>
      <c r="B189" s="29" t="n"/>
      <c r="C189" s="23" t="n"/>
      <c r="D189" s="31">
        <f>IF($C189="","",IFERROR(VLOOKUP($C189,'Base produits'!$B$5:$F$91,5,FALSE),""))</f>
        <v/>
      </c>
      <c r="E189" s="23" t="n"/>
      <c r="F189" s="19">
        <f>IF($C189="","",IFERROR(IF(VLOOKUP($C189,'Base produits'!$B$5:$H$91,7,FALSE)="","",VLOOKUP($C189,'Base produits'!$B$5:$H$91,7,FALSE)),""))</f>
        <v/>
      </c>
      <c r="G189" s="21">
        <f>IF(OR($C189="",$E189="",$F189=""),"",$E189*$F189)</f>
        <v/>
      </c>
      <c r="H189" s="29" t="n"/>
    </row>
    <row r="190">
      <c r="A190" s="30" t="n"/>
      <c r="B190" s="29" t="n"/>
      <c r="C190" s="23" t="n"/>
      <c r="D190" s="31">
        <f>IF($C190="","",IFERROR(VLOOKUP($C190,'Base produits'!$B$5:$F$91,5,FALSE),""))</f>
        <v/>
      </c>
      <c r="E190" s="23" t="n"/>
      <c r="F190" s="19">
        <f>IF($C190="","",IFERROR(IF(VLOOKUP($C190,'Base produits'!$B$5:$H$91,7,FALSE)="","",VLOOKUP($C190,'Base produits'!$B$5:$H$91,7,FALSE)),""))</f>
        <v/>
      </c>
      <c r="G190" s="21">
        <f>IF(OR($C190="",$E190="",$F190=""),"",$E190*$F190)</f>
        <v/>
      </c>
      <c r="H190" s="29" t="n"/>
    </row>
    <row r="191">
      <c r="A191" s="30" t="n"/>
      <c r="B191" s="29" t="n"/>
      <c r="C191" s="23" t="n"/>
      <c r="D191" s="31">
        <f>IF($C191="","",IFERROR(VLOOKUP($C191,'Base produits'!$B$5:$F$91,5,FALSE),""))</f>
        <v/>
      </c>
      <c r="E191" s="23" t="n"/>
      <c r="F191" s="19">
        <f>IF($C191="","",IFERROR(IF(VLOOKUP($C191,'Base produits'!$B$5:$H$91,7,FALSE)="","",VLOOKUP($C191,'Base produits'!$B$5:$H$91,7,FALSE)),""))</f>
        <v/>
      </c>
      <c r="G191" s="21">
        <f>IF(OR($C191="",$E191="",$F191=""),"",$E191*$F191)</f>
        <v/>
      </c>
      <c r="H191" s="29" t="n"/>
    </row>
    <row r="192">
      <c r="A192" s="30" t="n"/>
      <c r="B192" s="29" t="n"/>
      <c r="C192" s="23" t="n"/>
      <c r="D192" s="31">
        <f>IF($C192="","",IFERROR(VLOOKUP($C192,'Base produits'!$B$5:$F$91,5,FALSE),""))</f>
        <v/>
      </c>
      <c r="E192" s="23" t="n"/>
      <c r="F192" s="19">
        <f>IF($C192="","",IFERROR(IF(VLOOKUP($C192,'Base produits'!$B$5:$H$91,7,FALSE)="","",VLOOKUP($C192,'Base produits'!$B$5:$H$91,7,FALSE)),""))</f>
        <v/>
      </c>
      <c r="G192" s="21">
        <f>IF(OR($C192="",$E192="",$F192=""),"",$E192*$F192)</f>
        <v/>
      </c>
      <c r="H192" s="29" t="n"/>
    </row>
    <row r="193">
      <c r="A193" s="30" t="n"/>
      <c r="B193" s="29" t="n"/>
      <c r="C193" s="23" t="n"/>
      <c r="D193" s="31">
        <f>IF($C193="","",IFERROR(VLOOKUP($C193,'Base produits'!$B$5:$F$91,5,FALSE),""))</f>
        <v/>
      </c>
      <c r="E193" s="23" t="n"/>
      <c r="F193" s="19">
        <f>IF($C193="","",IFERROR(IF(VLOOKUP($C193,'Base produits'!$B$5:$H$91,7,FALSE)="","",VLOOKUP($C193,'Base produits'!$B$5:$H$91,7,FALSE)),""))</f>
        <v/>
      </c>
      <c r="G193" s="21">
        <f>IF(OR($C193="",$E193="",$F193=""),"",$E193*$F193)</f>
        <v/>
      </c>
      <c r="H193" s="29" t="n"/>
    </row>
    <row r="194">
      <c r="A194" s="30" t="n"/>
      <c r="B194" s="29" t="n"/>
      <c r="C194" s="23" t="n"/>
      <c r="D194" s="31">
        <f>IF($C194="","",IFERROR(VLOOKUP($C194,'Base produits'!$B$5:$F$91,5,FALSE),""))</f>
        <v/>
      </c>
      <c r="E194" s="23" t="n"/>
      <c r="F194" s="19">
        <f>IF($C194="","",IFERROR(IF(VLOOKUP($C194,'Base produits'!$B$5:$H$91,7,FALSE)="","",VLOOKUP($C194,'Base produits'!$B$5:$H$91,7,FALSE)),""))</f>
        <v/>
      </c>
      <c r="G194" s="21">
        <f>IF(OR($C194="",$E194="",$F194=""),"",$E194*$F194)</f>
        <v/>
      </c>
      <c r="H194" s="29" t="n"/>
    </row>
    <row r="195">
      <c r="A195" s="30" t="n"/>
      <c r="B195" s="29" t="n"/>
      <c r="C195" s="23" t="n"/>
      <c r="D195" s="31">
        <f>IF($C195="","",IFERROR(VLOOKUP($C195,'Base produits'!$B$5:$F$91,5,FALSE),""))</f>
        <v/>
      </c>
      <c r="E195" s="23" t="n"/>
      <c r="F195" s="19">
        <f>IF($C195="","",IFERROR(IF(VLOOKUP($C195,'Base produits'!$B$5:$H$91,7,FALSE)="","",VLOOKUP($C195,'Base produits'!$B$5:$H$91,7,FALSE)),""))</f>
        <v/>
      </c>
      <c r="G195" s="21">
        <f>IF(OR($C195="",$E195="",$F195=""),"",$E195*$F195)</f>
        <v/>
      </c>
      <c r="H195" s="29" t="n"/>
    </row>
    <row r="196">
      <c r="A196" s="30" t="n"/>
      <c r="B196" s="29" t="n"/>
      <c r="C196" s="23" t="n"/>
      <c r="D196" s="31">
        <f>IF($C196="","",IFERROR(VLOOKUP($C196,'Base produits'!$B$5:$F$91,5,FALSE),""))</f>
        <v/>
      </c>
      <c r="E196" s="23" t="n"/>
      <c r="F196" s="19">
        <f>IF($C196="","",IFERROR(IF(VLOOKUP($C196,'Base produits'!$B$5:$H$91,7,FALSE)="","",VLOOKUP($C196,'Base produits'!$B$5:$H$91,7,FALSE)),""))</f>
        <v/>
      </c>
      <c r="G196" s="21">
        <f>IF(OR($C196="",$E196="",$F196=""),"",$E196*$F196)</f>
        <v/>
      </c>
      <c r="H196" s="29" t="n"/>
    </row>
    <row r="197">
      <c r="A197" s="30" t="n"/>
      <c r="B197" s="29" t="n"/>
      <c r="C197" s="23" t="n"/>
      <c r="D197" s="31">
        <f>IF($C197="","",IFERROR(VLOOKUP($C197,'Base produits'!$B$5:$F$91,5,FALSE),""))</f>
        <v/>
      </c>
      <c r="E197" s="23" t="n"/>
      <c r="F197" s="19">
        <f>IF($C197="","",IFERROR(IF(VLOOKUP($C197,'Base produits'!$B$5:$H$91,7,FALSE)="","",VLOOKUP($C197,'Base produits'!$B$5:$H$91,7,FALSE)),""))</f>
        <v/>
      </c>
      <c r="G197" s="21">
        <f>IF(OR($C197="",$E197="",$F197=""),"",$E197*$F197)</f>
        <v/>
      </c>
      <c r="H197" s="29" t="n"/>
    </row>
    <row r="198">
      <c r="A198" s="30" t="n"/>
      <c r="B198" s="29" t="n"/>
      <c r="C198" s="23" t="n"/>
      <c r="D198" s="31">
        <f>IF($C198="","",IFERROR(VLOOKUP($C198,'Base produits'!$B$5:$F$91,5,FALSE),""))</f>
        <v/>
      </c>
      <c r="E198" s="23" t="n"/>
      <c r="F198" s="19">
        <f>IF($C198="","",IFERROR(IF(VLOOKUP($C198,'Base produits'!$B$5:$H$91,7,FALSE)="","",VLOOKUP($C198,'Base produits'!$B$5:$H$91,7,FALSE)),""))</f>
        <v/>
      </c>
      <c r="G198" s="21">
        <f>IF(OR($C198="",$E198="",$F198=""),"",$E198*$F198)</f>
        <v/>
      </c>
      <c r="H198" s="29" t="n"/>
    </row>
    <row r="199">
      <c r="A199" s="30" t="n"/>
      <c r="B199" s="29" t="n"/>
      <c r="C199" s="23" t="n"/>
      <c r="D199" s="31">
        <f>IF($C199="","",IFERROR(VLOOKUP($C199,'Base produits'!$B$5:$F$91,5,FALSE),""))</f>
        <v/>
      </c>
      <c r="E199" s="23" t="n"/>
      <c r="F199" s="19">
        <f>IF($C199="","",IFERROR(IF(VLOOKUP($C199,'Base produits'!$B$5:$H$91,7,FALSE)="","",VLOOKUP($C199,'Base produits'!$B$5:$H$91,7,FALSE)),""))</f>
        <v/>
      </c>
      <c r="G199" s="21">
        <f>IF(OR($C199="",$E199="",$F199=""),"",$E199*$F199)</f>
        <v/>
      </c>
      <c r="H199" s="29" t="n"/>
    </row>
    <row r="200">
      <c r="A200" s="30" t="n"/>
      <c r="B200" s="29" t="n"/>
      <c r="C200" s="23" t="n"/>
      <c r="D200" s="31">
        <f>IF($C200="","",IFERROR(VLOOKUP($C200,'Base produits'!$B$5:$F$91,5,FALSE),""))</f>
        <v/>
      </c>
      <c r="E200" s="23" t="n"/>
      <c r="F200" s="19">
        <f>IF($C200="","",IFERROR(IF(VLOOKUP($C200,'Base produits'!$B$5:$H$91,7,FALSE)="","",VLOOKUP($C200,'Base produits'!$B$5:$H$91,7,FALSE)),""))</f>
        <v/>
      </c>
      <c r="G200" s="21">
        <f>IF(OR($C200="",$E200="",$F200=""),"",$E200*$F200)</f>
        <v/>
      </c>
      <c r="H200" s="29" t="n"/>
    </row>
    <row r="201">
      <c r="A201" s="30" t="n"/>
      <c r="B201" s="29" t="n"/>
      <c r="C201" s="23" t="n"/>
      <c r="D201" s="31">
        <f>IF($C201="","",IFERROR(VLOOKUP($C201,'Base produits'!$B$5:$F$91,5,FALSE),""))</f>
        <v/>
      </c>
      <c r="E201" s="23" t="n"/>
      <c r="F201" s="19">
        <f>IF($C201="","",IFERROR(IF(VLOOKUP($C201,'Base produits'!$B$5:$H$91,7,FALSE)="","",VLOOKUP($C201,'Base produits'!$B$5:$H$91,7,FALSE)),""))</f>
        <v/>
      </c>
      <c r="G201" s="21">
        <f>IF(OR($C201="",$E201="",$F201=""),"",$E201*$F201)</f>
        <v/>
      </c>
      <c r="H201" s="29" t="n"/>
    </row>
    <row r="202">
      <c r="A202" s="30" t="n"/>
      <c r="B202" s="29" t="n"/>
      <c r="C202" s="23" t="n"/>
      <c r="D202" s="31">
        <f>IF($C202="","",IFERROR(VLOOKUP($C202,'Base produits'!$B$5:$F$91,5,FALSE),""))</f>
        <v/>
      </c>
      <c r="E202" s="23" t="n"/>
      <c r="F202" s="19">
        <f>IF($C202="","",IFERROR(IF(VLOOKUP($C202,'Base produits'!$B$5:$H$91,7,FALSE)="","",VLOOKUP($C202,'Base produits'!$B$5:$H$91,7,FALSE)),""))</f>
        <v/>
      </c>
      <c r="G202" s="21">
        <f>IF(OR($C202="",$E202="",$F202=""),"",$E202*$F202)</f>
        <v/>
      </c>
      <c r="H202" s="29" t="n"/>
    </row>
    <row r="203">
      <c r="A203" s="30" t="n"/>
      <c r="B203" s="29" t="n"/>
      <c r="C203" s="23" t="n"/>
      <c r="D203" s="31">
        <f>IF($C203="","",IFERROR(VLOOKUP($C203,'Base produits'!$B$5:$F$91,5,FALSE),""))</f>
        <v/>
      </c>
      <c r="E203" s="23" t="n"/>
      <c r="F203" s="19">
        <f>IF($C203="","",IFERROR(IF(VLOOKUP($C203,'Base produits'!$B$5:$H$91,7,FALSE)="","",VLOOKUP($C203,'Base produits'!$B$5:$H$91,7,FALSE)),""))</f>
        <v/>
      </c>
      <c r="G203" s="21">
        <f>IF(OR($C203="",$E203="",$F203=""),"",$E203*$F203)</f>
        <v/>
      </c>
      <c r="H203" s="29" t="n"/>
    </row>
    <row r="204">
      <c r="A204" s="30" t="n"/>
      <c r="B204" s="29" t="n"/>
      <c r="C204" s="23" t="n"/>
      <c r="D204" s="31">
        <f>IF($C204="","",IFERROR(VLOOKUP($C204,'Base produits'!$B$5:$F$91,5,FALSE),""))</f>
        <v/>
      </c>
      <c r="E204" s="23" t="n"/>
      <c r="F204" s="19">
        <f>IF($C204="","",IFERROR(IF(VLOOKUP($C204,'Base produits'!$B$5:$H$91,7,FALSE)="","",VLOOKUP($C204,'Base produits'!$B$5:$H$91,7,FALSE)),""))</f>
        <v/>
      </c>
      <c r="G204" s="21">
        <f>IF(OR($C204="",$E204="",$F204=""),"",$E204*$F204)</f>
        <v/>
      </c>
      <c r="H204" s="29" t="n"/>
    </row>
    <row r="205">
      <c r="A205" s="30" t="n"/>
      <c r="B205" s="29" t="n"/>
      <c r="C205" s="23" t="n"/>
      <c r="D205" s="31">
        <f>IF($C205="","",IFERROR(VLOOKUP($C205,'Base produits'!$B$5:$F$91,5,FALSE),""))</f>
        <v/>
      </c>
      <c r="E205" s="23" t="n"/>
      <c r="F205" s="19">
        <f>IF($C205="","",IFERROR(IF(VLOOKUP($C205,'Base produits'!$B$5:$H$91,7,FALSE)="","",VLOOKUP($C205,'Base produits'!$B$5:$H$91,7,FALSE)),""))</f>
        <v/>
      </c>
      <c r="G205" s="21">
        <f>IF(OR($C205="",$E205="",$F205=""),"",$E205*$F205)</f>
        <v/>
      </c>
      <c r="H205" s="29" t="n"/>
    </row>
    <row r="206">
      <c r="A206" s="30" t="n"/>
      <c r="B206" s="29" t="n"/>
      <c r="C206" s="23" t="n"/>
      <c r="D206" s="31">
        <f>IF($C206="","",IFERROR(VLOOKUP($C206,'Base produits'!$B$5:$F$91,5,FALSE),""))</f>
        <v/>
      </c>
      <c r="E206" s="23" t="n"/>
      <c r="F206" s="19">
        <f>IF($C206="","",IFERROR(IF(VLOOKUP($C206,'Base produits'!$B$5:$H$91,7,FALSE)="","",VLOOKUP($C206,'Base produits'!$B$5:$H$91,7,FALSE)),""))</f>
        <v/>
      </c>
      <c r="G206" s="21">
        <f>IF(OR($C206="",$E206="",$F206=""),"",$E206*$F206)</f>
        <v/>
      </c>
      <c r="H206" s="29" t="n"/>
    </row>
    <row r="207">
      <c r="A207" s="30" t="n"/>
      <c r="B207" s="29" t="n"/>
      <c r="C207" s="23" t="n"/>
      <c r="D207" s="31">
        <f>IF($C207="","",IFERROR(VLOOKUP($C207,'Base produits'!$B$5:$F$91,5,FALSE),""))</f>
        <v/>
      </c>
      <c r="E207" s="23" t="n"/>
      <c r="F207" s="19">
        <f>IF($C207="","",IFERROR(IF(VLOOKUP($C207,'Base produits'!$B$5:$H$91,7,FALSE)="","",VLOOKUP($C207,'Base produits'!$B$5:$H$91,7,FALSE)),""))</f>
        <v/>
      </c>
      <c r="G207" s="21">
        <f>IF(OR($C207="",$E207="",$F207=""),"",$E207*$F207)</f>
        <v/>
      </c>
      <c r="H207" s="29" t="n"/>
    </row>
    <row r="208">
      <c r="A208" s="30" t="n"/>
      <c r="B208" s="29" t="n"/>
      <c r="C208" s="23" t="n"/>
      <c r="D208" s="31">
        <f>IF($C208="","",IFERROR(VLOOKUP($C208,'Base produits'!$B$5:$F$91,5,FALSE),""))</f>
        <v/>
      </c>
      <c r="E208" s="23" t="n"/>
      <c r="F208" s="19">
        <f>IF($C208="","",IFERROR(IF(VLOOKUP($C208,'Base produits'!$B$5:$H$91,7,FALSE)="","",VLOOKUP($C208,'Base produits'!$B$5:$H$91,7,FALSE)),""))</f>
        <v/>
      </c>
      <c r="G208" s="21">
        <f>IF(OR($C208="",$E208="",$F208=""),"",$E208*$F208)</f>
        <v/>
      </c>
      <c r="H208" s="29" t="n"/>
    </row>
    <row r="209">
      <c r="A209" s="30" t="n"/>
      <c r="B209" s="29" t="n"/>
      <c r="C209" s="23" t="n"/>
      <c r="D209" s="31">
        <f>IF($C209="","",IFERROR(VLOOKUP($C209,'Base produits'!$B$5:$F$91,5,FALSE),""))</f>
        <v/>
      </c>
      <c r="E209" s="23" t="n"/>
      <c r="F209" s="19">
        <f>IF($C209="","",IFERROR(IF(VLOOKUP($C209,'Base produits'!$B$5:$H$91,7,FALSE)="","",VLOOKUP($C209,'Base produits'!$B$5:$H$91,7,FALSE)),""))</f>
        <v/>
      </c>
      <c r="G209" s="21">
        <f>IF(OR($C209="",$E209="",$F209=""),"",$E209*$F209)</f>
        <v/>
      </c>
      <c r="H209" s="29" t="n"/>
    </row>
    <row r="210">
      <c r="A210" s="30" t="n"/>
      <c r="B210" s="29" t="n"/>
      <c r="C210" s="23" t="n"/>
      <c r="D210" s="31">
        <f>IF($C210="","",IFERROR(VLOOKUP($C210,'Base produits'!$B$5:$F$91,5,FALSE),""))</f>
        <v/>
      </c>
      <c r="E210" s="23" t="n"/>
      <c r="F210" s="19">
        <f>IF($C210="","",IFERROR(IF(VLOOKUP($C210,'Base produits'!$B$5:$H$91,7,FALSE)="","",VLOOKUP($C210,'Base produits'!$B$5:$H$91,7,FALSE)),""))</f>
        <v/>
      </c>
      <c r="G210" s="21">
        <f>IF(OR($C210="",$E210="",$F210=""),"",$E210*$F210)</f>
        <v/>
      </c>
      <c r="H210" s="29" t="n"/>
    </row>
    <row r="211">
      <c r="A211" s="30" t="n"/>
      <c r="B211" s="29" t="n"/>
      <c r="C211" s="23" t="n"/>
      <c r="D211" s="31">
        <f>IF($C211="","",IFERROR(VLOOKUP($C211,'Base produits'!$B$5:$F$91,5,FALSE),""))</f>
        <v/>
      </c>
      <c r="E211" s="23" t="n"/>
      <c r="F211" s="19">
        <f>IF($C211="","",IFERROR(IF(VLOOKUP($C211,'Base produits'!$B$5:$H$91,7,FALSE)="","",VLOOKUP($C211,'Base produits'!$B$5:$H$91,7,FALSE)),""))</f>
        <v/>
      </c>
      <c r="G211" s="21">
        <f>IF(OR($C211="",$E211="",$F211=""),"",$E211*$F211)</f>
        <v/>
      </c>
      <c r="H211" s="29" t="n"/>
    </row>
    <row r="212">
      <c r="A212" s="30" t="n"/>
      <c r="B212" s="29" t="n"/>
      <c r="C212" s="23" t="n"/>
      <c r="D212" s="31">
        <f>IF($C212="","",IFERROR(VLOOKUP($C212,'Base produits'!$B$5:$F$91,5,FALSE),""))</f>
        <v/>
      </c>
      <c r="E212" s="23" t="n"/>
      <c r="F212" s="19">
        <f>IF($C212="","",IFERROR(IF(VLOOKUP($C212,'Base produits'!$B$5:$H$91,7,FALSE)="","",VLOOKUP($C212,'Base produits'!$B$5:$H$91,7,FALSE)),""))</f>
        <v/>
      </c>
      <c r="G212" s="21">
        <f>IF(OR($C212="",$E212="",$F212=""),"",$E212*$F212)</f>
        <v/>
      </c>
      <c r="H212" s="29" t="n"/>
    </row>
    <row r="213">
      <c r="A213" s="30" t="n"/>
      <c r="B213" s="29" t="n"/>
      <c r="C213" s="23" t="n"/>
      <c r="D213" s="31">
        <f>IF($C213="","",IFERROR(VLOOKUP($C213,'Base produits'!$B$5:$F$91,5,FALSE),""))</f>
        <v/>
      </c>
      <c r="E213" s="23" t="n"/>
      <c r="F213" s="19">
        <f>IF($C213="","",IFERROR(IF(VLOOKUP($C213,'Base produits'!$B$5:$H$91,7,FALSE)="","",VLOOKUP($C213,'Base produits'!$B$5:$H$91,7,FALSE)),""))</f>
        <v/>
      </c>
      <c r="G213" s="21">
        <f>IF(OR($C213="",$E213="",$F213=""),"",$E213*$F213)</f>
        <v/>
      </c>
      <c r="H213" s="29" t="n"/>
    </row>
    <row r="214">
      <c r="A214" s="30" t="n"/>
      <c r="B214" s="29" t="n"/>
      <c r="C214" s="23" t="n"/>
      <c r="D214" s="31">
        <f>IF($C214="","",IFERROR(VLOOKUP($C214,'Base produits'!$B$5:$F$91,5,FALSE),""))</f>
        <v/>
      </c>
      <c r="E214" s="23" t="n"/>
      <c r="F214" s="19">
        <f>IF($C214="","",IFERROR(IF(VLOOKUP($C214,'Base produits'!$B$5:$H$91,7,FALSE)="","",VLOOKUP($C214,'Base produits'!$B$5:$H$91,7,FALSE)),""))</f>
        <v/>
      </c>
      <c r="G214" s="21">
        <f>IF(OR($C214="",$E214="",$F214=""),"",$E214*$F214)</f>
        <v/>
      </c>
      <c r="H214" s="29" t="n"/>
    </row>
    <row r="215">
      <c r="A215" s="30" t="n"/>
      <c r="B215" s="29" t="n"/>
      <c r="C215" s="23" t="n"/>
      <c r="D215" s="31">
        <f>IF($C215="","",IFERROR(VLOOKUP($C215,'Base produits'!$B$5:$F$91,5,FALSE),""))</f>
        <v/>
      </c>
      <c r="E215" s="23" t="n"/>
      <c r="F215" s="19">
        <f>IF($C215="","",IFERROR(IF(VLOOKUP($C215,'Base produits'!$B$5:$H$91,7,FALSE)="","",VLOOKUP($C215,'Base produits'!$B$5:$H$91,7,FALSE)),""))</f>
        <v/>
      </c>
      <c r="G215" s="21">
        <f>IF(OR($C215="",$E215="",$F215=""),"",$E215*$F215)</f>
        <v/>
      </c>
      <c r="H215" s="29" t="n"/>
    </row>
    <row r="216">
      <c r="A216" s="30" t="n"/>
      <c r="B216" s="29" t="n"/>
      <c r="C216" s="23" t="n"/>
      <c r="D216" s="31">
        <f>IF($C216="","",IFERROR(VLOOKUP($C216,'Base produits'!$B$5:$F$91,5,FALSE),""))</f>
        <v/>
      </c>
      <c r="E216" s="23" t="n"/>
      <c r="F216" s="19">
        <f>IF($C216="","",IFERROR(IF(VLOOKUP($C216,'Base produits'!$B$5:$H$91,7,FALSE)="","",VLOOKUP($C216,'Base produits'!$B$5:$H$91,7,FALSE)),""))</f>
        <v/>
      </c>
      <c r="G216" s="21">
        <f>IF(OR($C216="",$E216="",$F216=""),"",$E216*$F216)</f>
        <v/>
      </c>
      <c r="H216" s="29" t="n"/>
    </row>
    <row r="217">
      <c r="A217" s="30" t="n"/>
      <c r="B217" s="29" t="n"/>
      <c r="C217" s="23" t="n"/>
      <c r="D217" s="31">
        <f>IF($C217="","",IFERROR(VLOOKUP($C217,'Base produits'!$B$5:$F$91,5,FALSE),""))</f>
        <v/>
      </c>
      <c r="E217" s="23" t="n"/>
      <c r="F217" s="19">
        <f>IF($C217="","",IFERROR(IF(VLOOKUP($C217,'Base produits'!$B$5:$H$91,7,FALSE)="","",VLOOKUP($C217,'Base produits'!$B$5:$H$91,7,FALSE)),""))</f>
        <v/>
      </c>
      <c r="G217" s="21">
        <f>IF(OR($C217="",$E217="",$F217=""),"",$E217*$F217)</f>
        <v/>
      </c>
      <c r="H217" s="29" t="n"/>
    </row>
    <row r="218">
      <c r="A218" s="30" t="n"/>
      <c r="B218" s="29" t="n"/>
      <c r="C218" s="23" t="n"/>
      <c r="D218" s="31">
        <f>IF($C218="","",IFERROR(VLOOKUP($C218,'Base produits'!$B$5:$F$91,5,FALSE),""))</f>
        <v/>
      </c>
      <c r="E218" s="23" t="n"/>
      <c r="F218" s="19">
        <f>IF($C218="","",IFERROR(IF(VLOOKUP($C218,'Base produits'!$B$5:$H$91,7,FALSE)="","",VLOOKUP($C218,'Base produits'!$B$5:$H$91,7,FALSE)),""))</f>
        <v/>
      </c>
      <c r="G218" s="21">
        <f>IF(OR($C218="",$E218="",$F218=""),"",$E218*$F218)</f>
        <v/>
      </c>
      <c r="H218" s="29" t="n"/>
    </row>
    <row r="219">
      <c r="A219" s="30" t="n"/>
      <c r="B219" s="29" t="n"/>
      <c r="C219" s="23" t="n"/>
      <c r="D219" s="31">
        <f>IF($C219="","",IFERROR(VLOOKUP($C219,'Base produits'!$B$5:$F$91,5,FALSE),""))</f>
        <v/>
      </c>
      <c r="E219" s="23" t="n"/>
      <c r="F219" s="19">
        <f>IF($C219="","",IFERROR(IF(VLOOKUP($C219,'Base produits'!$B$5:$H$91,7,FALSE)="","",VLOOKUP($C219,'Base produits'!$B$5:$H$91,7,FALSE)),""))</f>
        <v/>
      </c>
      <c r="G219" s="21">
        <f>IF(OR($C219="",$E219="",$F219=""),"",$E219*$F219)</f>
        <v/>
      </c>
      <c r="H219" s="29" t="n"/>
    </row>
    <row r="220">
      <c r="A220" s="30" t="n"/>
      <c r="B220" s="29" t="n"/>
      <c r="C220" s="23" t="n"/>
      <c r="D220" s="31">
        <f>IF($C220="","",IFERROR(VLOOKUP($C220,'Base produits'!$B$5:$F$91,5,FALSE),""))</f>
        <v/>
      </c>
      <c r="E220" s="23" t="n"/>
      <c r="F220" s="19">
        <f>IF($C220="","",IFERROR(IF(VLOOKUP($C220,'Base produits'!$B$5:$H$91,7,FALSE)="","",VLOOKUP($C220,'Base produits'!$B$5:$H$91,7,FALSE)),""))</f>
        <v/>
      </c>
      <c r="G220" s="21">
        <f>IF(OR($C220="",$E220="",$F220=""),"",$E220*$F220)</f>
        <v/>
      </c>
      <c r="H220" s="29" t="n"/>
    </row>
    <row r="221">
      <c r="A221" s="30" t="n"/>
      <c r="B221" s="29" t="n"/>
      <c r="C221" s="23" t="n"/>
      <c r="D221" s="31">
        <f>IF($C221="","",IFERROR(VLOOKUP($C221,'Base produits'!$B$5:$F$91,5,FALSE),""))</f>
        <v/>
      </c>
      <c r="E221" s="23" t="n"/>
      <c r="F221" s="19">
        <f>IF($C221="","",IFERROR(IF(VLOOKUP($C221,'Base produits'!$B$5:$H$91,7,FALSE)="","",VLOOKUP($C221,'Base produits'!$B$5:$H$91,7,FALSE)),""))</f>
        <v/>
      </c>
      <c r="G221" s="21">
        <f>IF(OR($C221="",$E221="",$F221=""),"",$E221*$F221)</f>
        <v/>
      </c>
      <c r="H221" s="29" t="n"/>
    </row>
    <row r="222">
      <c r="A222" s="30" t="n"/>
      <c r="B222" s="29" t="n"/>
      <c r="C222" s="23" t="n"/>
      <c r="D222" s="31">
        <f>IF($C222="","",IFERROR(VLOOKUP($C222,'Base produits'!$B$5:$F$91,5,FALSE),""))</f>
        <v/>
      </c>
      <c r="E222" s="23" t="n"/>
      <c r="F222" s="19">
        <f>IF($C222="","",IFERROR(IF(VLOOKUP($C222,'Base produits'!$B$5:$H$91,7,FALSE)="","",VLOOKUP($C222,'Base produits'!$B$5:$H$91,7,FALSE)),""))</f>
        <v/>
      </c>
      <c r="G222" s="21">
        <f>IF(OR($C222="",$E222="",$F222=""),"",$E222*$F222)</f>
        <v/>
      </c>
      <c r="H222" s="29" t="n"/>
    </row>
    <row r="223">
      <c r="A223" s="30" t="n"/>
      <c r="B223" s="29" t="n"/>
      <c r="C223" s="23" t="n"/>
      <c r="D223" s="31">
        <f>IF($C223="","",IFERROR(VLOOKUP($C223,'Base produits'!$B$5:$F$91,5,FALSE),""))</f>
        <v/>
      </c>
      <c r="E223" s="23" t="n"/>
      <c r="F223" s="19">
        <f>IF($C223="","",IFERROR(IF(VLOOKUP($C223,'Base produits'!$B$5:$H$91,7,FALSE)="","",VLOOKUP($C223,'Base produits'!$B$5:$H$91,7,FALSE)),""))</f>
        <v/>
      </c>
      <c r="G223" s="21">
        <f>IF(OR($C223="",$E223="",$F223=""),"",$E223*$F223)</f>
        <v/>
      </c>
      <c r="H223" s="29" t="n"/>
    </row>
    <row r="224">
      <c r="A224" s="30" t="n"/>
      <c r="B224" s="29" t="n"/>
      <c r="C224" s="23" t="n"/>
      <c r="D224" s="31">
        <f>IF($C224="","",IFERROR(VLOOKUP($C224,'Base produits'!$B$5:$F$91,5,FALSE),""))</f>
        <v/>
      </c>
      <c r="E224" s="23" t="n"/>
      <c r="F224" s="19">
        <f>IF($C224="","",IFERROR(IF(VLOOKUP($C224,'Base produits'!$B$5:$H$91,7,FALSE)="","",VLOOKUP($C224,'Base produits'!$B$5:$H$91,7,FALSE)),""))</f>
        <v/>
      </c>
      <c r="G224" s="21">
        <f>IF(OR($C224="",$E224="",$F224=""),"",$E224*$F224)</f>
        <v/>
      </c>
      <c r="H224" s="29" t="n"/>
    </row>
    <row r="225">
      <c r="A225" s="30" t="n"/>
      <c r="B225" s="29" t="n"/>
      <c r="C225" s="23" t="n"/>
      <c r="D225" s="31">
        <f>IF($C225="","",IFERROR(VLOOKUP($C225,'Base produits'!$B$5:$F$91,5,FALSE),""))</f>
        <v/>
      </c>
      <c r="E225" s="23" t="n"/>
      <c r="F225" s="19">
        <f>IF($C225="","",IFERROR(IF(VLOOKUP($C225,'Base produits'!$B$5:$H$91,7,FALSE)="","",VLOOKUP($C225,'Base produits'!$B$5:$H$91,7,FALSE)),""))</f>
        <v/>
      </c>
      <c r="G225" s="21">
        <f>IF(OR($C225="",$E225="",$F225=""),"",$E225*$F225)</f>
        <v/>
      </c>
      <c r="H225" s="29" t="n"/>
    </row>
    <row r="226">
      <c r="A226" s="30" t="n"/>
      <c r="B226" s="29" t="n"/>
      <c r="C226" s="23" t="n"/>
      <c r="D226" s="31">
        <f>IF($C226="","",IFERROR(VLOOKUP($C226,'Base produits'!$B$5:$F$91,5,FALSE),""))</f>
        <v/>
      </c>
      <c r="E226" s="23" t="n"/>
      <c r="F226" s="19">
        <f>IF($C226="","",IFERROR(IF(VLOOKUP($C226,'Base produits'!$B$5:$H$91,7,FALSE)="","",VLOOKUP($C226,'Base produits'!$B$5:$H$91,7,FALSE)),""))</f>
        <v/>
      </c>
      <c r="G226" s="21">
        <f>IF(OR($C226="",$E226="",$F226=""),"",$E226*$F226)</f>
        <v/>
      </c>
      <c r="H226" s="29" t="n"/>
    </row>
    <row r="227">
      <c r="A227" s="30" t="n"/>
      <c r="B227" s="29" t="n"/>
      <c r="C227" s="23" t="n"/>
      <c r="D227" s="31">
        <f>IF($C227="","",IFERROR(VLOOKUP($C227,'Base produits'!$B$5:$F$91,5,FALSE),""))</f>
        <v/>
      </c>
      <c r="E227" s="23" t="n"/>
      <c r="F227" s="19">
        <f>IF($C227="","",IFERROR(IF(VLOOKUP($C227,'Base produits'!$B$5:$H$91,7,FALSE)="","",VLOOKUP($C227,'Base produits'!$B$5:$H$91,7,FALSE)),""))</f>
        <v/>
      </c>
      <c r="G227" s="21">
        <f>IF(OR($C227="",$E227="",$F227=""),"",$E227*$F227)</f>
        <v/>
      </c>
      <c r="H227" s="29" t="n"/>
    </row>
    <row r="228">
      <c r="A228" s="30" t="n"/>
      <c r="B228" s="29" t="n"/>
      <c r="C228" s="23" t="n"/>
      <c r="D228" s="31">
        <f>IF($C228="","",IFERROR(VLOOKUP($C228,'Base produits'!$B$5:$F$91,5,FALSE),""))</f>
        <v/>
      </c>
      <c r="E228" s="23" t="n"/>
      <c r="F228" s="19">
        <f>IF($C228="","",IFERROR(IF(VLOOKUP($C228,'Base produits'!$B$5:$H$91,7,FALSE)="","",VLOOKUP($C228,'Base produits'!$B$5:$H$91,7,FALSE)),""))</f>
        <v/>
      </c>
      <c r="G228" s="21">
        <f>IF(OR($C228="",$E228="",$F228=""),"",$E228*$F228)</f>
        <v/>
      </c>
      <c r="H228" s="29" t="n"/>
    </row>
    <row r="229">
      <c r="A229" s="30" t="n"/>
      <c r="B229" s="29" t="n"/>
      <c r="C229" s="23" t="n"/>
      <c r="D229" s="31">
        <f>IF($C229="","",IFERROR(VLOOKUP($C229,'Base produits'!$B$5:$F$91,5,FALSE),""))</f>
        <v/>
      </c>
      <c r="E229" s="23" t="n"/>
      <c r="F229" s="19">
        <f>IF($C229="","",IFERROR(IF(VLOOKUP($C229,'Base produits'!$B$5:$H$91,7,FALSE)="","",VLOOKUP($C229,'Base produits'!$B$5:$H$91,7,FALSE)),""))</f>
        <v/>
      </c>
      <c r="G229" s="21">
        <f>IF(OR($C229="",$E229="",$F229=""),"",$E229*$F229)</f>
        <v/>
      </c>
      <c r="H229" s="29" t="n"/>
    </row>
    <row r="230">
      <c r="A230" s="30" t="n"/>
      <c r="B230" s="29" t="n"/>
      <c r="C230" s="23" t="n"/>
      <c r="D230" s="31">
        <f>IF($C230="","",IFERROR(VLOOKUP($C230,'Base produits'!$B$5:$F$91,5,FALSE),""))</f>
        <v/>
      </c>
      <c r="E230" s="23" t="n"/>
      <c r="F230" s="19">
        <f>IF($C230="","",IFERROR(IF(VLOOKUP($C230,'Base produits'!$B$5:$H$91,7,FALSE)="","",VLOOKUP($C230,'Base produits'!$B$5:$H$91,7,FALSE)),""))</f>
        <v/>
      </c>
      <c r="G230" s="21">
        <f>IF(OR($C230="",$E230="",$F230=""),"",$E230*$F230)</f>
        <v/>
      </c>
      <c r="H230" s="29" t="n"/>
    </row>
    <row r="231">
      <c r="A231" s="30" t="n"/>
      <c r="B231" s="29" t="n"/>
      <c r="C231" s="23" t="n"/>
      <c r="D231" s="31">
        <f>IF($C231="","",IFERROR(VLOOKUP($C231,'Base produits'!$B$5:$F$91,5,FALSE),""))</f>
        <v/>
      </c>
      <c r="E231" s="23" t="n"/>
      <c r="F231" s="19">
        <f>IF($C231="","",IFERROR(IF(VLOOKUP($C231,'Base produits'!$B$5:$H$91,7,FALSE)="","",VLOOKUP($C231,'Base produits'!$B$5:$H$91,7,FALSE)),""))</f>
        <v/>
      </c>
      <c r="G231" s="21">
        <f>IF(OR($C231="",$E231="",$F231=""),"",$E231*$F231)</f>
        <v/>
      </c>
      <c r="H231" s="29" t="n"/>
    </row>
    <row r="232">
      <c r="A232" s="30" t="n"/>
      <c r="B232" s="29" t="n"/>
      <c r="C232" s="23" t="n"/>
      <c r="D232" s="31">
        <f>IF($C232="","",IFERROR(VLOOKUP($C232,'Base produits'!$B$5:$F$91,5,FALSE),""))</f>
        <v/>
      </c>
      <c r="E232" s="23" t="n"/>
      <c r="F232" s="19">
        <f>IF($C232="","",IFERROR(IF(VLOOKUP($C232,'Base produits'!$B$5:$H$91,7,FALSE)="","",VLOOKUP($C232,'Base produits'!$B$5:$H$91,7,FALSE)),""))</f>
        <v/>
      </c>
      <c r="G232" s="21">
        <f>IF(OR($C232="",$E232="",$F232=""),"",$E232*$F232)</f>
        <v/>
      </c>
      <c r="H232" s="29" t="n"/>
    </row>
    <row r="233">
      <c r="A233" s="30" t="n"/>
      <c r="B233" s="29" t="n"/>
      <c r="C233" s="23" t="n"/>
      <c r="D233" s="31">
        <f>IF($C233="","",IFERROR(VLOOKUP($C233,'Base produits'!$B$5:$F$91,5,FALSE),""))</f>
        <v/>
      </c>
      <c r="E233" s="23" t="n"/>
      <c r="F233" s="19">
        <f>IF($C233="","",IFERROR(IF(VLOOKUP($C233,'Base produits'!$B$5:$H$91,7,FALSE)="","",VLOOKUP($C233,'Base produits'!$B$5:$H$91,7,FALSE)),""))</f>
        <v/>
      </c>
      <c r="G233" s="21">
        <f>IF(OR($C233="",$E233="",$F233=""),"",$E233*$F233)</f>
        <v/>
      </c>
      <c r="H233" s="29" t="n"/>
    </row>
    <row r="234">
      <c r="A234" s="30" t="n"/>
      <c r="B234" s="29" t="n"/>
      <c r="C234" s="23" t="n"/>
      <c r="D234" s="31">
        <f>IF($C234="","",IFERROR(VLOOKUP($C234,'Base produits'!$B$5:$F$91,5,FALSE),""))</f>
        <v/>
      </c>
      <c r="E234" s="23" t="n"/>
      <c r="F234" s="19">
        <f>IF($C234="","",IFERROR(IF(VLOOKUP($C234,'Base produits'!$B$5:$H$91,7,FALSE)="","",VLOOKUP($C234,'Base produits'!$B$5:$H$91,7,FALSE)),""))</f>
        <v/>
      </c>
      <c r="G234" s="21">
        <f>IF(OR($C234="",$E234="",$F234=""),"",$E234*$F234)</f>
        <v/>
      </c>
      <c r="H234" s="29" t="n"/>
    </row>
    <row r="235">
      <c r="A235" s="30" t="n"/>
      <c r="B235" s="29" t="n"/>
      <c r="C235" s="23" t="n"/>
      <c r="D235" s="31">
        <f>IF($C235="","",IFERROR(VLOOKUP($C235,'Base produits'!$B$5:$F$91,5,FALSE),""))</f>
        <v/>
      </c>
      <c r="E235" s="23" t="n"/>
      <c r="F235" s="19">
        <f>IF($C235="","",IFERROR(IF(VLOOKUP($C235,'Base produits'!$B$5:$H$91,7,FALSE)="","",VLOOKUP($C235,'Base produits'!$B$5:$H$91,7,FALSE)),""))</f>
        <v/>
      </c>
      <c r="G235" s="21">
        <f>IF(OR($C235="",$E235="",$F235=""),"",$E235*$F235)</f>
        <v/>
      </c>
      <c r="H235" s="29" t="n"/>
    </row>
    <row r="236">
      <c r="A236" s="30" t="n"/>
      <c r="B236" s="29" t="n"/>
      <c r="C236" s="23" t="n"/>
      <c r="D236" s="31">
        <f>IF($C236="","",IFERROR(VLOOKUP($C236,'Base produits'!$B$5:$F$91,5,FALSE),""))</f>
        <v/>
      </c>
      <c r="E236" s="23" t="n"/>
      <c r="F236" s="19">
        <f>IF($C236="","",IFERROR(IF(VLOOKUP($C236,'Base produits'!$B$5:$H$91,7,FALSE)="","",VLOOKUP($C236,'Base produits'!$B$5:$H$91,7,FALSE)),""))</f>
        <v/>
      </c>
      <c r="G236" s="21">
        <f>IF(OR($C236="",$E236="",$F236=""),"",$E236*$F236)</f>
        <v/>
      </c>
      <c r="H236" s="29" t="n"/>
    </row>
    <row r="237">
      <c r="A237" s="30" t="n"/>
      <c r="B237" s="29" t="n"/>
      <c r="C237" s="23" t="n"/>
      <c r="D237" s="31">
        <f>IF($C237="","",IFERROR(VLOOKUP($C237,'Base produits'!$B$5:$F$91,5,FALSE),""))</f>
        <v/>
      </c>
      <c r="E237" s="23" t="n"/>
      <c r="F237" s="19">
        <f>IF($C237="","",IFERROR(IF(VLOOKUP($C237,'Base produits'!$B$5:$H$91,7,FALSE)="","",VLOOKUP($C237,'Base produits'!$B$5:$H$91,7,FALSE)),""))</f>
        <v/>
      </c>
      <c r="G237" s="21">
        <f>IF(OR($C237="",$E237="",$F237=""),"",$E237*$F237)</f>
        <v/>
      </c>
      <c r="H237" s="29" t="n"/>
    </row>
    <row r="238">
      <c r="A238" s="30" t="n"/>
      <c r="B238" s="29" t="n"/>
      <c r="C238" s="23" t="n"/>
      <c r="D238" s="31">
        <f>IF($C238="","",IFERROR(VLOOKUP($C238,'Base produits'!$B$5:$F$91,5,FALSE),""))</f>
        <v/>
      </c>
      <c r="E238" s="23" t="n"/>
      <c r="F238" s="19">
        <f>IF($C238="","",IFERROR(IF(VLOOKUP($C238,'Base produits'!$B$5:$H$91,7,FALSE)="","",VLOOKUP($C238,'Base produits'!$B$5:$H$91,7,FALSE)),""))</f>
        <v/>
      </c>
      <c r="G238" s="21">
        <f>IF(OR($C238="",$E238="",$F238=""),"",$E238*$F238)</f>
        <v/>
      </c>
      <c r="H238" s="29" t="n"/>
    </row>
    <row r="239">
      <c r="A239" s="30" t="n"/>
      <c r="B239" s="29" t="n"/>
      <c r="C239" s="23" t="n"/>
      <c r="D239" s="31">
        <f>IF($C239="","",IFERROR(VLOOKUP($C239,'Base produits'!$B$5:$F$91,5,FALSE),""))</f>
        <v/>
      </c>
      <c r="E239" s="23" t="n"/>
      <c r="F239" s="19">
        <f>IF($C239="","",IFERROR(IF(VLOOKUP($C239,'Base produits'!$B$5:$H$91,7,FALSE)="","",VLOOKUP($C239,'Base produits'!$B$5:$H$91,7,FALSE)),""))</f>
        <v/>
      </c>
      <c r="G239" s="21">
        <f>IF(OR($C239="",$E239="",$F239=""),"",$E239*$F239)</f>
        <v/>
      </c>
      <c r="H239" s="29" t="n"/>
    </row>
    <row r="240">
      <c r="A240" s="30" t="n"/>
      <c r="B240" s="29" t="n"/>
      <c r="C240" s="23" t="n"/>
      <c r="D240" s="31">
        <f>IF($C240="","",IFERROR(VLOOKUP($C240,'Base produits'!$B$5:$F$91,5,FALSE),""))</f>
        <v/>
      </c>
      <c r="E240" s="23" t="n"/>
      <c r="F240" s="19">
        <f>IF($C240="","",IFERROR(IF(VLOOKUP($C240,'Base produits'!$B$5:$H$91,7,FALSE)="","",VLOOKUP($C240,'Base produits'!$B$5:$H$91,7,FALSE)),""))</f>
        <v/>
      </c>
      <c r="G240" s="21">
        <f>IF(OR($C240="",$E240="",$F240=""),"",$E240*$F240)</f>
        <v/>
      </c>
      <c r="H240" s="29" t="n"/>
    </row>
    <row r="241">
      <c r="A241" s="30" t="n"/>
      <c r="B241" s="29" t="n"/>
      <c r="C241" s="23" t="n"/>
      <c r="D241" s="31">
        <f>IF($C241="","",IFERROR(VLOOKUP($C241,'Base produits'!$B$5:$F$91,5,FALSE),""))</f>
        <v/>
      </c>
      <c r="E241" s="23" t="n"/>
      <c r="F241" s="19">
        <f>IF($C241="","",IFERROR(IF(VLOOKUP($C241,'Base produits'!$B$5:$H$91,7,FALSE)="","",VLOOKUP($C241,'Base produits'!$B$5:$H$91,7,FALSE)),""))</f>
        <v/>
      </c>
      <c r="G241" s="21">
        <f>IF(OR($C241="",$E241="",$F241=""),"",$E241*$F241)</f>
        <v/>
      </c>
      <c r="H241" s="29" t="n"/>
    </row>
    <row r="242">
      <c r="A242" s="30" t="n"/>
      <c r="B242" s="29" t="n"/>
      <c r="C242" s="23" t="n"/>
      <c r="D242" s="31">
        <f>IF($C242="","",IFERROR(VLOOKUP($C242,'Base produits'!$B$5:$F$91,5,FALSE),""))</f>
        <v/>
      </c>
      <c r="E242" s="23" t="n"/>
      <c r="F242" s="19">
        <f>IF($C242="","",IFERROR(IF(VLOOKUP($C242,'Base produits'!$B$5:$H$91,7,FALSE)="","",VLOOKUP($C242,'Base produits'!$B$5:$H$91,7,FALSE)),""))</f>
        <v/>
      </c>
      <c r="G242" s="21">
        <f>IF(OR($C242="",$E242="",$F242=""),"",$E242*$F242)</f>
        <v/>
      </c>
      <c r="H242" s="29" t="n"/>
    </row>
    <row r="243">
      <c r="A243" s="30" t="n"/>
      <c r="B243" s="29" t="n"/>
      <c r="C243" s="23" t="n"/>
      <c r="D243" s="31">
        <f>IF($C243="","",IFERROR(VLOOKUP($C243,'Base produits'!$B$5:$F$91,5,FALSE),""))</f>
        <v/>
      </c>
      <c r="E243" s="23" t="n"/>
      <c r="F243" s="19">
        <f>IF($C243="","",IFERROR(IF(VLOOKUP($C243,'Base produits'!$B$5:$H$91,7,FALSE)="","",VLOOKUP($C243,'Base produits'!$B$5:$H$91,7,FALSE)),""))</f>
        <v/>
      </c>
      <c r="G243" s="21">
        <f>IF(OR($C243="",$E243="",$F243=""),"",$E243*$F243)</f>
        <v/>
      </c>
      <c r="H243" s="29" t="n"/>
    </row>
    <row r="244">
      <c r="A244" s="30" t="n"/>
      <c r="B244" s="29" t="n"/>
      <c r="C244" s="23" t="n"/>
      <c r="D244" s="31">
        <f>IF($C244="","",IFERROR(VLOOKUP($C244,'Base produits'!$B$5:$F$91,5,FALSE),""))</f>
        <v/>
      </c>
      <c r="E244" s="23" t="n"/>
      <c r="F244" s="19">
        <f>IF($C244="","",IFERROR(IF(VLOOKUP($C244,'Base produits'!$B$5:$H$91,7,FALSE)="","",VLOOKUP($C244,'Base produits'!$B$5:$H$91,7,FALSE)),""))</f>
        <v/>
      </c>
      <c r="G244" s="21">
        <f>IF(OR($C244="",$E244="",$F244=""),"",$E244*$F244)</f>
        <v/>
      </c>
      <c r="H244" s="29" t="n"/>
    </row>
    <row r="245">
      <c r="A245" s="30" t="n"/>
      <c r="B245" s="29" t="n"/>
      <c r="C245" s="23" t="n"/>
      <c r="D245" s="31">
        <f>IF($C245="","",IFERROR(VLOOKUP($C245,'Base produits'!$B$5:$F$91,5,FALSE),""))</f>
        <v/>
      </c>
      <c r="E245" s="23" t="n"/>
      <c r="F245" s="19">
        <f>IF($C245="","",IFERROR(IF(VLOOKUP($C245,'Base produits'!$B$5:$H$91,7,FALSE)="","",VLOOKUP($C245,'Base produits'!$B$5:$H$91,7,FALSE)),""))</f>
        <v/>
      </c>
      <c r="G245" s="21">
        <f>IF(OR($C245="",$E245="",$F245=""),"",$E245*$F245)</f>
        <v/>
      </c>
      <c r="H245" s="29" t="n"/>
    </row>
    <row r="246">
      <c r="A246" s="30" t="n"/>
      <c r="B246" s="29" t="n"/>
      <c r="C246" s="23" t="n"/>
      <c r="D246" s="31">
        <f>IF($C246="","",IFERROR(VLOOKUP($C246,'Base produits'!$B$5:$F$91,5,FALSE),""))</f>
        <v/>
      </c>
      <c r="E246" s="23" t="n"/>
      <c r="F246" s="19">
        <f>IF($C246="","",IFERROR(IF(VLOOKUP($C246,'Base produits'!$B$5:$H$91,7,FALSE)="","",VLOOKUP($C246,'Base produits'!$B$5:$H$91,7,FALSE)),""))</f>
        <v/>
      </c>
      <c r="G246" s="21">
        <f>IF(OR($C246="",$E246="",$F246=""),"",$E246*$F246)</f>
        <v/>
      </c>
      <c r="H246" s="29" t="n"/>
    </row>
    <row r="247">
      <c r="A247" s="30" t="n"/>
      <c r="B247" s="29" t="n"/>
      <c r="C247" s="23" t="n"/>
      <c r="D247" s="31">
        <f>IF($C247="","",IFERROR(VLOOKUP($C247,'Base produits'!$B$5:$F$91,5,FALSE),""))</f>
        <v/>
      </c>
      <c r="E247" s="23" t="n"/>
      <c r="F247" s="19">
        <f>IF($C247="","",IFERROR(IF(VLOOKUP($C247,'Base produits'!$B$5:$H$91,7,FALSE)="","",VLOOKUP($C247,'Base produits'!$B$5:$H$91,7,FALSE)),""))</f>
        <v/>
      </c>
      <c r="G247" s="21">
        <f>IF(OR($C247="",$E247="",$F247=""),"",$E247*$F247)</f>
        <v/>
      </c>
      <c r="H247" s="29" t="n"/>
    </row>
    <row r="248">
      <c r="A248" s="30" t="n"/>
      <c r="B248" s="29" t="n"/>
      <c r="C248" s="23" t="n"/>
      <c r="D248" s="31">
        <f>IF($C248="","",IFERROR(VLOOKUP($C248,'Base produits'!$B$5:$F$91,5,FALSE),""))</f>
        <v/>
      </c>
      <c r="E248" s="23" t="n"/>
      <c r="F248" s="19">
        <f>IF($C248="","",IFERROR(IF(VLOOKUP($C248,'Base produits'!$B$5:$H$91,7,FALSE)="","",VLOOKUP($C248,'Base produits'!$B$5:$H$91,7,FALSE)),""))</f>
        <v/>
      </c>
      <c r="G248" s="21">
        <f>IF(OR($C248="",$E248="",$F248=""),"",$E248*$F248)</f>
        <v/>
      </c>
      <c r="H248" s="29" t="n"/>
    </row>
    <row r="249">
      <c r="A249" s="30" t="n"/>
      <c r="B249" s="29" t="n"/>
      <c r="C249" s="23" t="n"/>
      <c r="D249" s="31">
        <f>IF($C249="","",IFERROR(VLOOKUP($C249,'Base produits'!$B$5:$F$91,5,FALSE),""))</f>
        <v/>
      </c>
      <c r="E249" s="23" t="n"/>
      <c r="F249" s="19">
        <f>IF($C249="","",IFERROR(IF(VLOOKUP($C249,'Base produits'!$B$5:$H$91,7,FALSE)="","",VLOOKUP($C249,'Base produits'!$B$5:$H$91,7,FALSE)),""))</f>
        <v/>
      </c>
      <c r="G249" s="21">
        <f>IF(OR($C249="",$E249="",$F249=""),"",$E249*$F249)</f>
        <v/>
      </c>
      <c r="H249" s="29" t="n"/>
    </row>
    <row r="250">
      <c r="A250" s="30" t="n"/>
      <c r="B250" s="29" t="n"/>
      <c r="C250" s="23" t="n"/>
      <c r="D250" s="31">
        <f>IF($C250="","",IFERROR(VLOOKUP($C250,'Base produits'!$B$5:$F$91,5,FALSE),""))</f>
        <v/>
      </c>
      <c r="E250" s="23" t="n"/>
      <c r="F250" s="19">
        <f>IF($C250="","",IFERROR(IF(VLOOKUP($C250,'Base produits'!$B$5:$H$91,7,FALSE)="","",VLOOKUP($C250,'Base produits'!$B$5:$H$91,7,FALSE)),""))</f>
        <v/>
      </c>
      <c r="G250" s="21">
        <f>IF(OR($C250="",$E250="",$F250=""),"",$E250*$F250)</f>
        <v/>
      </c>
      <c r="H250" s="29" t="n"/>
    </row>
    <row r="251">
      <c r="A251" s="30" t="n"/>
      <c r="B251" s="29" t="n"/>
      <c r="C251" s="23" t="n"/>
      <c r="D251" s="31">
        <f>IF($C251="","",IFERROR(VLOOKUP($C251,'Base produits'!$B$5:$F$91,5,FALSE),""))</f>
        <v/>
      </c>
      <c r="E251" s="23" t="n"/>
      <c r="F251" s="19">
        <f>IF($C251="","",IFERROR(IF(VLOOKUP($C251,'Base produits'!$B$5:$H$91,7,FALSE)="","",VLOOKUP($C251,'Base produits'!$B$5:$H$91,7,FALSE)),""))</f>
        <v/>
      </c>
      <c r="G251" s="21">
        <f>IF(OR($C251="",$E251="",$F251=""),"",$E251*$F251)</f>
        <v/>
      </c>
      <c r="H251" s="29" t="n"/>
    </row>
    <row r="252">
      <c r="A252" s="30" t="n"/>
      <c r="B252" s="29" t="n"/>
      <c r="C252" s="23" t="n"/>
      <c r="D252" s="31">
        <f>IF($C252="","",IFERROR(VLOOKUP($C252,'Base produits'!$B$5:$F$91,5,FALSE),""))</f>
        <v/>
      </c>
      <c r="E252" s="23" t="n"/>
      <c r="F252" s="19">
        <f>IF($C252="","",IFERROR(IF(VLOOKUP($C252,'Base produits'!$B$5:$H$91,7,FALSE)="","",VLOOKUP($C252,'Base produits'!$B$5:$H$91,7,FALSE)),""))</f>
        <v/>
      </c>
      <c r="G252" s="21">
        <f>IF(OR($C252="",$E252="",$F252=""),"",$E252*$F252)</f>
        <v/>
      </c>
      <c r="H252" s="29" t="n"/>
    </row>
    <row r="253">
      <c r="A253" s="30" t="n"/>
      <c r="B253" s="29" t="n"/>
      <c r="C253" s="23" t="n"/>
      <c r="D253" s="31">
        <f>IF($C253="","",IFERROR(VLOOKUP($C253,'Base produits'!$B$5:$F$91,5,FALSE),""))</f>
        <v/>
      </c>
      <c r="E253" s="23" t="n"/>
      <c r="F253" s="19">
        <f>IF($C253="","",IFERROR(IF(VLOOKUP($C253,'Base produits'!$B$5:$H$91,7,FALSE)="","",VLOOKUP($C253,'Base produits'!$B$5:$H$91,7,FALSE)),""))</f>
        <v/>
      </c>
      <c r="G253" s="21">
        <f>IF(OR($C253="",$E253="",$F253=""),"",$E253*$F253)</f>
        <v/>
      </c>
      <c r="H253" s="29" t="n"/>
    </row>
    <row r="254">
      <c r="A254" s="30" t="n"/>
      <c r="B254" s="29" t="n"/>
      <c r="C254" s="23" t="n"/>
      <c r="D254" s="31">
        <f>IF($C254="","",IFERROR(VLOOKUP($C254,'Base produits'!$B$5:$F$91,5,FALSE),""))</f>
        <v/>
      </c>
      <c r="E254" s="23" t="n"/>
      <c r="F254" s="19">
        <f>IF($C254="","",IFERROR(IF(VLOOKUP($C254,'Base produits'!$B$5:$H$91,7,FALSE)="","",VLOOKUP($C254,'Base produits'!$B$5:$H$91,7,FALSE)),""))</f>
        <v/>
      </c>
      <c r="G254" s="21">
        <f>IF(OR($C254="",$E254="",$F254=""),"",$E254*$F254)</f>
        <v/>
      </c>
      <c r="H254" s="29" t="n"/>
    </row>
    <row r="255">
      <c r="A255" s="30" t="n"/>
      <c r="B255" s="29" t="n"/>
      <c r="C255" s="23" t="n"/>
      <c r="D255" s="31">
        <f>IF($C255="","",IFERROR(VLOOKUP($C255,'Base produits'!$B$5:$F$91,5,FALSE),""))</f>
        <v/>
      </c>
      <c r="E255" s="23" t="n"/>
      <c r="F255" s="19">
        <f>IF($C255="","",IFERROR(IF(VLOOKUP($C255,'Base produits'!$B$5:$H$91,7,FALSE)="","",VLOOKUP($C255,'Base produits'!$B$5:$H$91,7,FALSE)),""))</f>
        <v/>
      </c>
      <c r="G255" s="21">
        <f>IF(OR($C255="",$E255="",$F255=""),"",$E255*$F255)</f>
        <v/>
      </c>
      <c r="H255" s="29" t="n"/>
    </row>
    <row r="256">
      <c r="A256" s="30" t="n"/>
      <c r="B256" s="29" t="n"/>
      <c r="C256" s="23" t="n"/>
      <c r="D256" s="31">
        <f>IF($C256="","",IFERROR(VLOOKUP($C256,'Base produits'!$B$5:$F$91,5,FALSE),""))</f>
        <v/>
      </c>
      <c r="E256" s="23" t="n"/>
      <c r="F256" s="19">
        <f>IF($C256="","",IFERROR(IF(VLOOKUP($C256,'Base produits'!$B$5:$H$91,7,FALSE)="","",VLOOKUP($C256,'Base produits'!$B$5:$H$91,7,FALSE)),""))</f>
        <v/>
      </c>
      <c r="G256" s="21">
        <f>IF(OR($C256="",$E256="",$F256=""),"",$E256*$F256)</f>
        <v/>
      </c>
      <c r="H256" s="29" t="n"/>
    </row>
    <row r="257">
      <c r="A257" s="30" t="n"/>
      <c r="B257" s="29" t="n"/>
      <c r="C257" s="23" t="n"/>
      <c r="D257" s="31">
        <f>IF($C257="","",IFERROR(VLOOKUP($C257,'Base produits'!$B$5:$F$91,5,FALSE),""))</f>
        <v/>
      </c>
      <c r="E257" s="23" t="n"/>
      <c r="F257" s="19">
        <f>IF($C257="","",IFERROR(IF(VLOOKUP($C257,'Base produits'!$B$5:$H$91,7,FALSE)="","",VLOOKUP($C257,'Base produits'!$B$5:$H$91,7,FALSE)),""))</f>
        <v/>
      </c>
      <c r="G257" s="21">
        <f>IF(OR($C257="",$E257="",$F257=""),"",$E257*$F257)</f>
        <v/>
      </c>
      <c r="H257" s="29" t="n"/>
    </row>
    <row r="258">
      <c r="A258" s="30" t="n"/>
      <c r="B258" s="29" t="n"/>
      <c r="C258" s="23" t="n"/>
      <c r="D258" s="31">
        <f>IF($C258="","",IFERROR(VLOOKUP($C258,'Base produits'!$B$5:$F$91,5,FALSE),""))</f>
        <v/>
      </c>
      <c r="E258" s="23" t="n"/>
      <c r="F258" s="19">
        <f>IF($C258="","",IFERROR(IF(VLOOKUP($C258,'Base produits'!$B$5:$H$91,7,FALSE)="","",VLOOKUP($C258,'Base produits'!$B$5:$H$91,7,FALSE)),""))</f>
        <v/>
      </c>
      <c r="G258" s="21">
        <f>IF(OR($C258="",$E258="",$F258=""),"",$E258*$F258)</f>
        <v/>
      </c>
      <c r="H258" s="29" t="n"/>
    </row>
    <row r="259">
      <c r="A259" s="30" t="n"/>
      <c r="B259" s="29" t="n"/>
      <c r="C259" s="23" t="n"/>
      <c r="D259" s="31">
        <f>IF($C259="","",IFERROR(VLOOKUP($C259,'Base produits'!$B$5:$F$91,5,FALSE),""))</f>
        <v/>
      </c>
      <c r="E259" s="23" t="n"/>
      <c r="F259" s="19">
        <f>IF($C259="","",IFERROR(IF(VLOOKUP($C259,'Base produits'!$B$5:$H$91,7,FALSE)="","",VLOOKUP($C259,'Base produits'!$B$5:$H$91,7,FALSE)),""))</f>
        <v/>
      </c>
      <c r="G259" s="21">
        <f>IF(OR($C259="",$E259="",$F259=""),"",$E259*$F259)</f>
        <v/>
      </c>
      <c r="H259" s="29" t="n"/>
    </row>
    <row r="260">
      <c r="A260" s="30" t="n"/>
      <c r="B260" s="29" t="n"/>
      <c r="C260" s="23" t="n"/>
      <c r="D260" s="31">
        <f>IF($C260="","",IFERROR(VLOOKUP($C260,'Base produits'!$B$5:$F$91,5,FALSE),""))</f>
        <v/>
      </c>
      <c r="E260" s="23" t="n"/>
      <c r="F260" s="19">
        <f>IF($C260="","",IFERROR(IF(VLOOKUP($C260,'Base produits'!$B$5:$H$91,7,FALSE)="","",VLOOKUP($C260,'Base produits'!$B$5:$H$91,7,FALSE)),""))</f>
        <v/>
      </c>
      <c r="G260" s="21">
        <f>IF(OR($C260="",$E260="",$F260=""),"",$E260*$F260)</f>
        <v/>
      </c>
      <c r="H260" s="29" t="n"/>
    </row>
    <row r="261">
      <c r="A261" s="30" t="n"/>
      <c r="B261" s="29" t="n"/>
      <c r="C261" s="23" t="n"/>
      <c r="D261" s="31">
        <f>IF($C261="","",IFERROR(VLOOKUP($C261,'Base produits'!$B$5:$F$91,5,FALSE),""))</f>
        <v/>
      </c>
      <c r="E261" s="23" t="n"/>
      <c r="F261" s="19">
        <f>IF($C261="","",IFERROR(IF(VLOOKUP($C261,'Base produits'!$B$5:$H$91,7,FALSE)="","",VLOOKUP($C261,'Base produits'!$B$5:$H$91,7,FALSE)),""))</f>
        <v/>
      </c>
      <c r="G261" s="21">
        <f>IF(OR($C261="",$E261="",$F261=""),"",$E261*$F261)</f>
        <v/>
      </c>
      <c r="H261" s="29" t="n"/>
    </row>
    <row r="262">
      <c r="A262" s="30" t="n"/>
      <c r="B262" s="29" t="n"/>
      <c r="C262" s="23" t="n"/>
      <c r="D262" s="31">
        <f>IF($C262="","",IFERROR(VLOOKUP($C262,'Base produits'!$B$5:$F$91,5,FALSE),""))</f>
        <v/>
      </c>
      <c r="E262" s="23" t="n"/>
      <c r="F262" s="19">
        <f>IF($C262="","",IFERROR(IF(VLOOKUP($C262,'Base produits'!$B$5:$H$91,7,FALSE)="","",VLOOKUP($C262,'Base produits'!$B$5:$H$91,7,FALSE)),""))</f>
        <v/>
      </c>
      <c r="G262" s="21">
        <f>IF(OR($C262="",$E262="",$F262=""),"",$E262*$F262)</f>
        <v/>
      </c>
      <c r="H262" s="29" t="n"/>
    </row>
    <row r="263">
      <c r="A263" s="30" t="n"/>
      <c r="B263" s="29" t="n"/>
      <c r="C263" s="23" t="n"/>
      <c r="D263" s="31">
        <f>IF($C263="","",IFERROR(VLOOKUP($C263,'Base produits'!$B$5:$F$91,5,FALSE),""))</f>
        <v/>
      </c>
      <c r="E263" s="23" t="n"/>
      <c r="F263" s="19">
        <f>IF($C263="","",IFERROR(IF(VLOOKUP($C263,'Base produits'!$B$5:$H$91,7,FALSE)="","",VLOOKUP($C263,'Base produits'!$B$5:$H$91,7,FALSE)),""))</f>
        <v/>
      </c>
      <c r="G263" s="21">
        <f>IF(OR($C263="",$E263="",$F263=""),"",$E263*$F263)</f>
        <v/>
      </c>
      <c r="H263" s="29" t="n"/>
    </row>
    <row r="264">
      <c r="A264" s="30" t="n"/>
      <c r="B264" s="29" t="n"/>
      <c r="C264" s="23" t="n"/>
      <c r="D264" s="31">
        <f>IF($C264="","",IFERROR(VLOOKUP($C264,'Base produits'!$B$5:$F$91,5,FALSE),""))</f>
        <v/>
      </c>
      <c r="E264" s="23" t="n"/>
      <c r="F264" s="19">
        <f>IF($C264="","",IFERROR(IF(VLOOKUP($C264,'Base produits'!$B$5:$H$91,7,FALSE)="","",VLOOKUP($C264,'Base produits'!$B$5:$H$91,7,FALSE)),""))</f>
        <v/>
      </c>
      <c r="G264" s="21">
        <f>IF(OR($C264="",$E264="",$F264=""),"",$E264*$F264)</f>
        <v/>
      </c>
      <c r="H264" s="29" t="n"/>
    </row>
    <row r="265">
      <c r="A265" s="30" t="n"/>
      <c r="B265" s="29" t="n"/>
      <c r="C265" s="23" t="n"/>
      <c r="D265" s="31">
        <f>IF($C265="","",IFERROR(VLOOKUP($C265,'Base produits'!$B$5:$F$91,5,FALSE),""))</f>
        <v/>
      </c>
      <c r="E265" s="23" t="n"/>
      <c r="F265" s="19">
        <f>IF($C265="","",IFERROR(IF(VLOOKUP($C265,'Base produits'!$B$5:$H$91,7,FALSE)="","",VLOOKUP($C265,'Base produits'!$B$5:$H$91,7,FALSE)),""))</f>
        <v/>
      </c>
      <c r="G265" s="21">
        <f>IF(OR($C265="",$E265="",$F265=""),"",$E265*$F265)</f>
        <v/>
      </c>
      <c r="H265" s="29" t="n"/>
    </row>
    <row r="266">
      <c r="A266" s="30" t="n"/>
      <c r="B266" s="29" t="n"/>
      <c r="C266" s="23" t="n"/>
      <c r="D266" s="31">
        <f>IF($C266="","",IFERROR(VLOOKUP($C266,'Base produits'!$B$5:$F$91,5,FALSE),""))</f>
        <v/>
      </c>
      <c r="E266" s="23" t="n"/>
      <c r="F266" s="19">
        <f>IF($C266="","",IFERROR(IF(VLOOKUP($C266,'Base produits'!$B$5:$H$91,7,FALSE)="","",VLOOKUP($C266,'Base produits'!$B$5:$H$91,7,FALSE)),""))</f>
        <v/>
      </c>
      <c r="G266" s="21">
        <f>IF(OR($C266="",$E266="",$F266=""),"",$E266*$F266)</f>
        <v/>
      </c>
      <c r="H266" s="29" t="n"/>
    </row>
    <row r="267">
      <c r="A267" s="30" t="n"/>
      <c r="B267" s="29" t="n"/>
      <c r="C267" s="23" t="n"/>
      <c r="D267" s="31">
        <f>IF($C267="","",IFERROR(VLOOKUP($C267,'Base produits'!$B$5:$F$91,5,FALSE),""))</f>
        <v/>
      </c>
      <c r="E267" s="23" t="n"/>
      <c r="F267" s="19">
        <f>IF($C267="","",IFERROR(IF(VLOOKUP($C267,'Base produits'!$B$5:$H$91,7,FALSE)="","",VLOOKUP($C267,'Base produits'!$B$5:$H$91,7,FALSE)),""))</f>
        <v/>
      </c>
      <c r="G267" s="21">
        <f>IF(OR($C267="",$E267="",$F267=""),"",$E267*$F267)</f>
        <v/>
      </c>
      <c r="H267" s="29" t="n"/>
    </row>
    <row r="268">
      <c r="A268" s="30" t="n"/>
      <c r="B268" s="29" t="n"/>
      <c r="C268" s="23" t="n"/>
      <c r="D268" s="31">
        <f>IF($C268="","",IFERROR(VLOOKUP($C268,'Base produits'!$B$5:$F$91,5,FALSE),""))</f>
        <v/>
      </c>
      <c r="E268" s="23" t="n"/>
      <c r="F268" s="19">
        <f>IF($C268="","",IFERROR(IF(VLOOKUP($C268,'Base produits'!$B$5:$H$91,7,FALSE)="","",VLOOKUP($C268,'Base produits'!$B$5:$H$91,7,FALSE)),""))</f>
        <v/>
      </c>
      <c r="G268" s="21">
        <f>IF(OR($C268="",$E268="",$F268=""),"",$E268*$F268)</f>
        <v/>
      </c>
      <c r="H268" s="29" t="n"/>
    </row>
    <row r="269">
      <c r="A269" s="30" t="n"/>
      <c r="B269" s="29" t="n"/>
      <c r="C269" s="23" t="n"/>
      <c r="D269" s="31">
        <f>IF($C269="","",IFERROR(VLOOKUP($C269,'Base produits'!$B$5:$F$91,5,FALSE),""))</f>
        <v/>
      </c>
      <c r="E269" s="23" t="n"/>
      <c r="F269" s="19">
        <f>IF($C269="","",IFERROR(IF(VLOOKUP($C269,'Base produits'!$B$5:$H$91,7,FALSE)="","",VLOOKUP($C269,'Base produits'!$B$5:$H$91,7,FALSE)),""))</f>
        <v/>
      </c>
      <c r="G269" s="21">
        <f>IF(OR($C269="",$E269="",$F269=""),"",$E269*$F269)</f>
        <v/>
      </c>
      <c r="H269" s="29" t="n"/>
    </row>
    <row r="270">
      <c r="A270" s="30" t="n"/>
      <c r="B270" s="29" t="n"/>
      <c r="C270" s="23" t="n"/>
      <c r="D270" s="31">
        <f>IF($C270="","",IFERROR(VLOOKUP($C270,'Base produits'!$B$5:$F$91,5,FALSE),""))</f>
        <v/>
      </c>
      <c r="E270" s="23" t="n"/>
      <c r="F270" s="19">
        <f>IF($C270="","",IFERROR(IF(VLOOKUP($C270,'Base produits'!$B$5:$H$91,7,FALSE)="","",VLOOKUP($C270,'Base produits'!$B$5:$H$91,7,FALSE)),""))</f>
        <v/>
      </c>
      <c r="G270" s="21">
        <f>IF(OR($C270="",$E270="",$F270=""),"",$E270*$F270)</f>
        <v/>
      </c>
      <c r="H270" s="29" t="n"/>
    </row>
    <row r="271">
      <c r="A271" s="30" t="n"/>
      <c r="B271" s="29" t="n"/>
      <c r="C271" s="23" t="n"/>
      <c r="D271" s="31">
        <f>IF($C271="","",IFERROR(VLOOKUP($C271,'Base produits'!$B$5:$F$91,5,FALSE),""))</f>
        <v/>
      </c>
      <c r="E271" s="23" t="n"/>
      <c r="F271" s="19">
        <f>IF($C271="","",IFERROR(IF(VLOOKUP($C271,'Base produits'!$B$5:$H$91,7,FALSE)="","",VLOOKUP($C271,'Base produits'!$B$5:$H$91,7,FALSE)),""))</f>
        <v/>
      </c>
      <c r="G271" s="21">
        <f>IF(OR($C271="",$E271="",$F271=""),"",$E271*$F271)</f>
        <v/>
      </c>
      <c r="H271" s="29" t="n"/>
    </row>
    <row r="272">
      <c r="A272" s="30" t="n"/>
      <c r="B272" s="29" t="n"/>
      <c r="C272" s="23" t="n"/>
      <c r="D272" s="31">
        <f>IF($C272="","",IFERROR(VLOOKUP($C272,'Base produits'!$B$5:$F$91,5,FALSE),""))</f>
        <v/>
      </c>
      <c r="E272" s="23" t="n"/>
      <c r="F272" s="19">
        <f>IF($C272="","",IFERROR(IF(VLOOKUP($C272,'Base produits'!$B$5:$H$91,7,FALSE)="","",VLOOKUP($C272,'Base produits'!$B$5:$H$91,7,FALSE)),""))</f>
        <v/>
      </c>
      <c r="G272" s="21">
        <f>IF(OR($C272="",$E272="",$F272=""),"",$E272*$F272)</f>
        <v/>
      </c>
      <c r="H272" s="29" t="n"/>
    </row>
    <row r="273">
      <c r="A273" s="30" t="n"/>
      <c r="B273" s="29" t="n"/>
      <c r="C273" s="23" t="n"/>
      <c r="D273" s="31">
        <f>IF($C273="","",IFERROR(VLOOKUP($C273,'Base produits'!$B$5:$F$91,5,FALSE),""))</f>
        <v/>
      </c>
      <c r="E273" s="23" t="n"/>
      <c r="F273" s="19">
        <f>IF($C273="","",IFERROR(IF(VLOOKUP($C273,'Base produits'!$B$5:$H$91,7,FALSE)="","",VLOOKUP($C273,'Base produits'!$B$5:$H$91,7,FALSE)),""))</f>
        <v/>
      </c>
      <c r="G273" s="21">
        <f>IF(OR($C273="",$E273="",$F273=""),"",$E273*$F273)</f>
        <v/>
      </c>
      <c r="H273" s="29" t="n"/>
    </row>
    <row r="274">
      <c r="A274" s="30" t="n"/>
      <c r="B274" s="29" t="n"/>
      <c r="C274" s="23" t="n"/>
      <c r="D274" s="31">
        <f>IF($C274="","",IFERROR(VLOOKUP($C274,'Base produits'!$B$5:$F$91,5,FALSE),""))</f>
        <v/>
      </c>
      <c r="E274" s="23" t="n"/>
      <c r="F274" s="19">
        <f>IF($C274="","",IFERROR(IF(VLOOKUP($C274,'Base produits'!$B$5:$H$91,7,FALSE)="","",VLOOKUP($C274,'Base produits'!$B$5:$H$91,7,FALSE)),""))</f>
        <v/>
      </c>
      <c r="G274" s="21">
        <f>IF(OR($C274="",$E274="",$F274=""),"",$E274*$F274)</f>
        <v/>
      </c>
      <c r="H274" s="29" t="n"/>
    </row>
    <row r="275">
      <c r="A275" s="30" t="n"/>
      <c r="B275" s="29" t="n"/>
      <c r="C275" s="23" t="n"/>
      <c r="D275" s="31">
        <f>IF($C275="","",IFERROR(VLOOKUP($C275,'Base produits'!$B$5:$F$91,5,FALSE),""))</f>
        <v/>
      </c>
      <c r="E275" s="23" t="n"/>
      <c r="F275" s="19">
        <f>IF($C275="","",IFERROR(IF(VLOOKUP($C275,'Base produits'!$B$5:$H$91,7,FALSE)="","",VLOOKUP($C275,'Base produits'!$B$5:$H$91,7,FALSE)),""))</f>
        <v/>
      </c>
      <c r="G275" s="21">
        <f>IF(OR($C275="",$E275="",$F275=""),"",$E275*$F275)</f>
        <v/>
      </c>
      <c r="H275" s="29" t="n"/>
    </row>
    <row r="276">
      <c r="A276" s="30" t="n"/>
      <c r="B276" s="29" t="n"/>
      <c r="C276" s="23" t="n"/>
      <c r="D276" s="31">
        <f>IF($C276="","",IFERROR(VLOOKUP($C276,'Base produits'!$B$5:$F$91,5,FALSE),""))</f>
        <v/>
      </c>
      <c r="E276" s="23" t="n"/>
      <c r="F276" s="19">
        <f>IF($C276="","",IFERROR(IF(VLOOKUP($C276,'Base produits'!$B$5:$H$91,7,FALSE)="","",VLOOKUP($C276,'Base produits'!$B$5:$H$91,7,FALSE)),""))</f>
        <v/>
      </c>
      <c r="G276" s="21">
        <f>IF(OR($C276="",$E276="",$F276=""),"",$E276*$F276)</f>
        <v/>
      </c>
      <c r="H276" s="29" t="n"/>
    </row>
    <row r="277">
      <c r="A277" s="30" t="n"/>
      <c r="B277" s="29" t="n"/>
      <c r="C277" s="23" t="n"/>
      <c r="D277" s="31">
        <f>IF($C277="","",IFERROR(VLOOKUP($C277,'Base produits'!$B$5:$F$91,5,FALSE),""))</f>
        <v/>
      </c>
      <c r="E277" s="23" t="n"/>
      <c r="F277" s="19">
        <f>IF($C277="","",IFERROR(IF(VLOOKUP($C277,'Base produits'!$B$5:$H$91,7,FALSE)="","",VLOOKUP($C277,'Base produits'!$B$5:$H$91,7,FALSE)),""))</f>
        <v/>
      </c>
      <c r="G277" s="21">
        <f>IF(OR($C277="",$E277="",$F277=""),"",$E277*$F277)</f>
        <v/>
      </c>
      <c r="H277" s="29" t="n"/>
    </row>
    <row r="278">
      <c r="A278" s="30" t="n"/>
      <c r="B278" s="29" t="n"/>
      <c r="C278" s="23" t="n"/>
      <c r="D278" s="31">
        <f>IF($C278="","",IFERROR(VLOOKUP($C278,'Base produits'!$B$5:$F$91,5,FALSE),""))</f>
        <v/>
      </c>
      <c r="E278" s="23" t="n"/>
      <c r="F278" s="19">
        <f>IF($C278="","",IFERROR(IF(VLOOKUP($C278,'Base produits'!$B$5:$H$91,7,FALSE)="","",VLOOKUP($C278,'Base produits'!$B$5:$H$91,7,FALSE)),""))</f>
        <v/>
      </c>
      <c r="G278" s="21">
        <f>IF(OR($C278="",$E278="",$F278=""),"",$E278*$F278)</f>
        <v/>
      </c>
      <c r="H278" s="29" t="n"/>
    </row>
    <row r="279">
      <c r="A279" s="30" t="n"/>
      <c r="B279" s="29" t="n"/>
      <c r="C279" s="23" t="n"/>
      <c r="D279" s="31">
        <f>IF($C279="","",IFERROR(VLOOKUP($C279,'Base produits'!$B$5:$F$91,5,FALSE),""))</f>
        <v/>
      </c>
      <c r="E279" s="23" t="n"/>
      <c r="F279" s="19">
        <f>IF($C279="","",IFERROR(IF(VLOOKUP($C279,'Base produits'!$B$5:$H$91,7,FALSE)="","",VLOOKUP($C279,'Base produits'!$B$5:$H$91,7,FALSE)),""))</f>
        <v/>
      </c>
      <c r="G279" s="21">
        <f>IF(OR($C279="",$E279="",$F279=""),"",$E279*$F279)</f>
        <v/>
      </c>
      <c r="H279" s="29" t="n"/>
    </row>
    <row r="280">
      <c r="A280" s="30" t="n"/>
      <c r="B280" s="29" t="n"/>
      <c r="C280" s="23" t="n"/>
      <c r="D280" s="31">
        <f>IF($C280="","",IFERROR(VLOOKUP($C280,'Base produits'!$B$5:$F$91,5,FALSE),""))</f>
        <v/>
      </c>
      <c r="E280" s="23" t="n"/>
      <c r="F280" s="19">
        <f>IF($C280="","",IFERROR(IF(VLOOKUP($C280,'Base produits'!$B$5:$H$91,7,FALSE)="","",VLOOKUP($C280,'Base produits'!$B$5:$H$91,7,FALSE)),""))</f>
        <v/>
      </c>
      <c r="G280" s="21">
        <f>IF(OR($C280="",$E280="",$F280=""),"",$E280*$F280)</f>
        <v/>
      </c>
      <c r="H280" s="29" t="n"/>
    </row>
    <row r="281">
      <c r="A281" s="30" t="n"/>
      <c r="B281" s="29" t="n"/>
      <c r="C281" s="23" t="n"/>
      <c r="D281" s="31">
        <f>IF($C281="","",IFERROR(VLOOKUP($C281,'Base produits'!$B$5:$F$91,5,FALSE),""))</f>
        <v/>
      </c>
      <c r="E281" s="23" t="n"/>
      <c r="F281" s="19">
        <f>IF($C281="","",IFERROR(IF(VLOOKUP($C281,'Base produits'!$B$5:$H$91,7,FALSE)="","",VLOOKUP($C281,'Base produits'!$B$5:$H$91,7,FALSE)),""))</f>
        <v/>
      </c>
      <c r="G281" s="21">
        <f>IF(OR($C281="",$E281="",$F281=""),"",$E281*$F281)</f>
        <v/>
      </c>
      <c r="H281" s="29" t="n"/>
    </row>
    <row r="282">
      <c r="A282" s="30" t="n"/>
      <c r="B282" s="29" t="n"/>
      <c r="C282" s="23" t="n"/>
      <c r="D282" s="31">
        <f>IF($C282="","",IFERROR(VLOOKUP($C282,'Base produits'!$B$5:$F$91,5,FALSE),""))</f>
        <v/>
      </c>
      <c r="E282" s="23" t="n"/>
      <c r="F282" s="19">
        <f>IF($C282="","",IFERROR(IF(VLOOKUP($C282,'Base produits'!$B$5:$H$91,7,FALSE)="","",VLOOKUP($C282,'Base produits'!$B$5:$H$91,7,FALSE)),""))</f>
        <v/>
      </c>
      <c r="G282" s="21">
        <f>IF(OR($C282="",$E282="",$F282=""),"",$E282*$F282)</f>
        <v/>
      </c>
      <c r="H282" s="29" t="n"/>
    </row>
    <row r="283">
      <c r="A283" s="30" t="n"/>
      <c r="B283" s="29" t="n"/>
      <c r="C283" s="23" t="n"/>
      <c r="D283" s="31">
        <f>IF($C283="","",IFERROR(VLOOKUP($C283,'Base produits'!$B$5:$F$91,5,FALSE),""))</f>
        <v/>
      </c>
      <c r="E283" s="23" t="n"/>
      <c r="F283" s="19">
        <f>IF($C283="","",IFERROR(IF(VLOOKUP($C283,'Base produits'!$B$5:$H$91,7,FALSE)="","",VLOOKUP($C283,'Base produits'!$B$5:$H$91,7,FALSE)),""))</f>
        <v/>
      </c>
      <c r="G283" s="21">
        <f>IF(OR($C283="",$E283="",$F283=""),"",$E283*$F283)</f>
        <v/>
      </c>
      <c r="H283" s="29" t="n"/>
    </row>
    <row r="284">
      <c r="A284" s="30" t="n"/>
      <c r="B284" s="29" t="n"/>
      <c r="C284" s="23" t="n"/>
      <c r="D284" s="31">
        <f>IF($C284="","",IFERROR(VLOOKUP($C284,'Base produits'!$B$5:$F$91,5,FALSE),""))</f>
        <v/>
      </c>
      <c r="E284" s="23" t="n"/>
      <c r="F284" s="19">
        <f>IF($C284="","",IFERROR(IF(VLOOKUP($C284,'Base produits'!$B$5:$H$91,7,FALSE)="","",VLOOKUP($C284,'Base produits'!$B$5:$H$91,7,FALSE)),""))</f>
        <v/>
      </c>
      <c r="G284" s="21">
        <f>IF(OR($C284="",$E284="",$F284=""),"",$E284*$F284)</f>
        <v/>
      </c>
      <c r="H284" s="29" t="n"/>
    </row>
    <row r="285">
      <c r="A285" s="30" t="n"/>
      <c r="B285" s="29" t="n"/>
      <c r="C285" s="23" t="n"/>
      <c r="D285" s="31">
        <f>IF($C285="","",IFERROR(VLOOKUP($C285,'Base produits'!$B$5:$F$91,5,FALSE),""))</f>
        <v/>
      </c>
      <c r="E285" s="23" t="n"/>
      <c r="F285" s="19">
        <f>IF($C285="","",IFERROR(IF(VLOOKUP($C285,'Base produits'!$B$5:$H$91,7,FALSE)="","",VLOOKUP($C285,'Base produits'!$B$5:$H$91,7,FALSE)),""))</f>
        <v/>
      </c>
      <c r="G285" s="21">
        <f>IF(OR($C285="",$E285="",$F285=""),"",$E285*$F285)</f>
        <v/>
      </c>
      <c r="H285" s="29" t="n"/>
    </row>
    <row r="286">
      <c r="A286" s="30" t="n"/>
      <c r="B286" s="29" t="n"/>
      <c r="C286" s="23" t="n"/>
      <c r="D286" s="31">
        <f>IF($C286="","",IFERROR(VLOOKUP($C286,'Base produits'!$B$5:$F$91,5,FALSE),""))</f>
        <v/>
      </c>
      <c r="E286" s="23" t="n"/>
      <c r="F286" s="19">
        <f>IF($C286="","",IFERROR(IF(VLOOKUP($C286,'Base produits'!$B$5:$H$91,7,FALSE)="","",VLOOKUP($C286,'Base produits'!$B$5:$H$91,7,FALSE)),""))</f>
        <v/>
      </c>
      <c r="G286" s="21">
        <f>IF(OR($C286="",$E286="",$F286=""),"",$E286*$F286)</f>
        <v/>
      </c>
      <c r="H286" s="29" t="n"/>
    </row>
    <row r="287">
      <c r="A287" s="30" t="n"/>
      <c r="B287" s="29" t="n"/>
      <c r="C287" s="23" t="n"/>
      <c r="D287" s="31">
        <f>IF($C287="","",IFERROR(VLOOKUP($C287,'Base produits'!$B$5:$F$91,5,FALSE),""))</f>
        <v/>
      </c>
      <c r="E287" s="23" t="n"/>
      <c r="F287" s="19">
        <f>IF($C287="","",IFERROR(IF(VLOOKUP($C287,'Base produits'!$B$5:$H$91,7,FALSE)="","",VLOOKUP($C287,'Base produits'!$B$5:$H$91,7,FALSE)),""))</f>
        <v/>
      </c>
      <c r="G287" s="21">
        <f>IF(OR($C287="",$E287="",$F287=""),"",$E287*$F287)</f>
        <v/>
      </c>
      <c r="H287" s="29" t="n"/>
    </row>
    <row r="288">
      <c r="A288" s="30" t="n"/>
      <c r="B288" s="29" t="n"/>
      <c r="C288" s="23" t="n"/>
      <c r="D288" s="31">
        <f>IF($C288="","",IFERROR(VLOOKUP($C288,'Base produits'!$B$5:$F$91,5,FALSE),""))</f>
        <v/>
      </c>
      <c r="E288" s="23" t="n"/>
      <c r="F288" s="19">
        <f>IF($C288="","",IFERROR(IF(VLOOKUP($C288,'Base produits'!$B$5:$H$91,7,FALSE)="","",VLOOKUP($C288,'Base produits'!$B$5:$H$91,7,FALSE)),""))</f>
        <v/>
      </c>
      <c r="G288" s="21">
        <f>IF(OR($C288="",$E288="",$F288=""),"",$E288*$F288)</f>
        <v/>
      </c>
      <c r="H288" s="29" t="n"/>
    </row>
    <row r="289">
      <c r="A289" s="30" t="n"/>
      <c r="B289" s="29" t="n"/>
      <c r="C289" s="23" t="n"/>
      <c r="D289" s="31">
        <f>IF($C289="","",IFERROR(VLOOKUP($C289,'Base produits'!$B$5:$F$91,5,FALSE),""))</f>
        <v/>
      </c>
      <c r="E289" s="23" t="n"/>
      <c r="F289" s="19">
        <f>IF($C289="","",IFERROR(IF(VLOOKUP($C289,'Base produits'!$B$5:$H$91,7,FALSE)="","",VLOOKUP($C289,'Base produits'!$B$5:$H$91,7,FALSE)),""))</f>
        <v/>
      </c>
      <c r="G289" s="21">
        <f>IF(OR($C289="",$E289="",$F289=""),"",$E289*$F289)</f>
        <v/>
      </c>
      <c r="H289" s="29" t="n"/>
    </row>
    <row r="290">
      <c r="A290" s="30" t="n"/>
      <c r="B290" s="29" t="n"/>
      <c r="C290" s="23" t="n"/>
      <c r="D290" s="31">
        <f>IF($C290="","",IFERROR(VLOOKUP($C290,'Base produits'!$B$5:$F$91,5,FALSE),""))</f>
        <v/>
      </c>
      <c r="E290" s="23" t="n"/>
      <c r="F290" s="19">
        <f>IF($C290="","",IFERROR(IF(VLOOKUP($C290,'Base produits'!$B$5:$H$91,7,FALSE)="","",VLOOKUP($C290,'Base produits'!$B$5:$H$91,7,FALSE)),""))</f>
        <v/>
      </c>
      <c r="G290" s="21">
        <f>IF(OR($C290="",$E290="",$F290=""),"",$E290*$F290)</f>
        <v/>
      </c>
      <c r="H290" s="29" t="n"/>
    </row>
    <row r="291">
      <c r="A291" s="30" t="n"/>
      <c r="B291" s="29" t="n"/>
      <c r="C291" s="23" t="n"/>
      <c r="D291" s="31">
        <f>IF($C291="","",IFERROR(VLOOKUP($C291,'Base produits'!$B$5:$F$91,5,FALSE),""))</f>
        <v/>
      </c>
      <c r="E291" s="23" t="n"/>
      <c r="F291" s="19">
        <f>IF($C291="","",IFERROR(IF(VLOOKUP($C291,'Base produits'!$B$5:$H$91,7,FALSE)="","",VLOOKUP($C291,'Base produits'!$B$5:$H$91,7,FALSE)),""))</f>
        <v/>
      </c>
      <c r="G291" s="21">
        <f>IF(OR($C291="",$E291="",$F291=""),"",$E291*$F291)</f>
        <v/>
      </c>
      <c r="H291" s="29" t="n"/>
    </row>
    <row r="292">
      <c r="A292" s="30" t="n"/>
      <c r="B292" s="29" t="n"/>
      <c r="C292" s="23" t="n"/>
      <c r="D292" s="31">
        <f>IF($C292="","",IFERROR(VLOOKUP($C292,'Base produits'!$B$5:$F$91,5,FALSE),""))</f>
        <v/>
      </c>
      <c r="E292" s="23" t="n"/>
      <c r="F292" s="19">
        <f>IF($C292="","",IFERROR(IF(VLOOKUP($C292,'Base produits'!$B$5:$H$91,7,FALSE)="","",VLOOKUP($C292,'Base produits'!$B$5:$H$91,7,FALSE)),""))</f>
        <v/>
      </c>
      <c r="G292" s="21">
        <f>IF(OR($C292="",$E292="",$F292=""),"",$E292*$F292)</f>
        <v/>
      </c>
      <c r="H292" s="29" t="n"/>
    </row>
    <row r="293">
      <c r="A293" s="30" t="n"/>
      <c r="B293" s="29" t="n"/>
      <c r="C293" s="23" t="n"/>
      <c r="D293" s="31">
        <f>IF($C293="","",IFERROR(VLOOKUP($C293,'Base produits'!$B$5:$F$91,5,FALSE),""))</f>
        <v/>
      </c>
      <c r="E293" s="23" t="n"/>
      <c r="F293" s="19">
        <f>IF($C293="","",IFERROR(IF(VLOOKUP($C293,'Base produits'!$B$5:$H$91,7,FALSE)="","",VLOOKUP($C293,'Base produits'!$B$5:$H$91,7,FALSE)),""))</f>
        <v/>
      </c>
      <c r="G293" s="21">
        <f>IF(OR($C293="",$E293="",$F293=""),"",$E293*$F293)</f>
        <v/>
      </c>
      <c r="H293" s="29" t="n"/>
    </row>
    <row r="294">
      <c r="A294" s="30" t="n"/>
      <c r="B294" s="29" t="n"/>
      <c r="C294" s="23" t="n"/>
      <c r="D294" s="31">
        <f>IF($C294="","",IFERROR(VLOOKUP($C294,'Base produits'!$B$5:$F$91,5,FALSE),""))</f>
        <v/>
      </c>
      <c r="E294" s="23" t="n"/>
      <c r="F294" s="19">
        <f>IF($C294="","",IFERROR(IF(VLOOKUP($C294,'Base produits'!$B$5:$H$91,7,FALSE)="","",VLOOKUP($C294,'Base produits'!$B$5:$H$91,7,FALSE)),""))</f>
        <v/>
      </c>
      <c r="G294" s="21">
        <f>IF(OR($C294="",$E294="",$F294=""),"",$E294*$F294)</f>
        <v/>
      </c>
      <c r="H294" s="29" t="n"/>
    </row>
    <row r="295">
      <c r="A295" s="30" t="n"/>
      <c r="B295" s="29" t="n"/>
      <c r="C295" s="23" t="n"/>
      <c r="D295" s="31">
        <f>IF($C295="","",IFERROR(VLOOKUP($C295,'Base produits'!$B$5:$F$91,5,FALSE),""))</f>
        <v/>
      </c>
      <c r="E295" s="23" t="n"/>
      <c r="F295" s="19">
        <f>IF($C295="","",IFERROR(IF(VLOOKUP($C295,'Base produits'!$B$5:$H$91,7,FALSE)="","",VLOOKUP($C295,'Base produits'!$B$5:$H$91,7,FALSE)),""))</f>
        <v/>
      </c>
      <c r="G295" s="21">
        <f>IF(OR($C295="",$E295="",$F295=""),"",$E295*$F295)</f>
        <v/>
      </c>
      <c r="H295" s="29" t="n"/>
    </row>
    <row r="296">
      <c r="A296" s="30" t="n"/>
      <c r="B296" s="29" t="n"/>
      <c r="C296" s="23" t="n"/>
      <c r="D296" s="31">
        <f>IF($C296="","",IFERROR(VLOOKUP($C296,'Base produits'!$B$5:$F$91,5,FALSE),""))</f>
        <v/>
      </c>
      <c r="E296" s="23" t="n"/>
      <c r="F296" s="19">
        <f>IF($C296="","",IFERROR(IF(VLOOKUP($C296,'Base produits'!$B$5:$H$91,7,FALSE)="","",VLOOKUP($C296,'Base produits'!$B$5:$H$91,7,FALSE)),""))</f>
        <v/>
      </c>
      <c r="G296" s="21">
        <f>IF(OR($C296="",$E296="",$F296=""),"",$E296*$F296)</f>
        <v/>
      </c>
      <c r="H296" s="29" t="n"/>
    </row>
    <row r="297">
      <c r="A297" s="30" t="n"/>
      <c r="B297" s="29" t="n"/>
      <c r="C297" s="23" t="n"/>
      <c r="D297" s="31">
        <f>IF($C297="","",IFERROR(VLOOKUP($C297,'Base produits'!$B$5:$F$91,5,FALSE),""))</f>
        <v/>
      </c>
      <c r="E297" s="23" t="n"/>
      <c r="F297" s="19">
        <f>IF($C297="","",IFERROR(IF(VLOOKUP($C297,'Base produits'!$B$5:$H$91,7,FALSE)="","",VLOOKUP($C297,'Base produits'!$B$5:$H$91,7,FALSE)),""))</f>
        <v/>
      </c>
      <c r="G297" s="21">
        <f>IF(OR($C297="",$E297="",$F297=""),"",$E297*$F297)</f>
        <v/>
      </c>
      <c r="H297" s="29" t="n"/>
    </row>
    <row r="298">
      <c r="A298" s="30" t="n"/>
      <c r="B298" s="29" t="n"/>
      <c r="C298" s="23" t="n"/>
      <c r="D298" s="31">
        <f>IF($C298="","",IFERROR(VLOOKUP($C298,'Base produits'!$B$5:$F$91,5,FALSE),""))</f>
        <v/>
      </c>
      <c r="E298" s="23" t="n"/>
      <c r="F298" s="19">
        <f>IF($C298="","",IFERROR(IF(VLOOKUP($C298,'Base produits'!$B$5:$H$91,7,FALSE)="","",VLOOKUP($C298,'Base produits'!$B$5:$H$91,7,FALSE)),""))</f>
        <v/>
      </c>
      <c r="G298" s="21">
        <f>IF(OR($C298="",$E298="",$F298=""),"",$E298*$F298)</f>
        <v/>
      </c>
      <c r="H298" s="29" t="n"/>
    </row>
    <row r="299">
      <c r="A299" s="30" t="n"/>
      <c r="B299" s="29" t="n"/>
      <c r="C299" s="23" t="n"/>
      <c r="D299" s="31">
        <f>IF($C299="","",IFERROR(VLOOKUP($C299,'Base produits'!$B$5:$F$91,5,FALSE),""))</f>
        <v/>
      </c>
      <c r="E299" s="23" t="n"/>
      <c r="F299" s="19">
        <f>IF($C299="","",IFERROR(IF(VLOOKUP($C299,'Base produits'!$B$5:$H$91,7,FALSE)="","",VLOOKUP($C299,'Base produits'!$B$5:$H$91,7,FALSE)),""))</f>
        <v/>
      </c>
      <c r="G299" s="21">
        <f>IF(OR($C299="",$E299="",$F299=""),"",$E299*$F299)</f>
        <v/>
      </c>
      <c r="H299" s="29" t="n"/>
    </row>
    <row r="300">
      <c r="A300" s="30" t="n"/>
      <c r="B300" s="29" t="n"/>
      <c r="C300" s="23" t="n"/>
      <c r="D300" s="31">
        <f>IF($C300="","",IFERROR(VLOOKUP($C300,'Base produits'!$B$5:$F$91,5,FALSE),""))</f>
        <v/>
      </c>
      <c r="E300" s="23" t="n"/>
      <c r="F300" s="19">
        <f>IF($C300="","",IFERROR(IF(VLOOKUP($C300,'Base produits'!$B$5:$H$91,7,FALSE)="","",VLOOKUP($C300,'Base produits'!$B$5:$H$91,7,FALSE)),""))</f>
        <v/>
      </c>
      <c r="G300" s="21">
        <f>IF(OR($C300="",$E300="",$F300=""),"",$E300*$F300)</f>
        <v/>
      </c>
      <c r="H300" s="29" t="n"/>
    </row>
    <row r="301">
      <c r="A301" s="30" t="n"/>
      <c r="B301" s="29" t="n"/>
      <c r="C301" s="23" t="n"/>
      <c r="D301" s="31">
        <f>IF($C301="","",IFERROR(VLOOKUP($C301,'Base produits'!$B$5:$F$91,5,FALSE),""))</f>
        <v/>
      </c>
      <c r="E301" s="23" t="n"/>
      <c r="F301" s="19">
        <f>IF($C301="","",IFERROR(IF(VLOOKUP($C301,'Base produits'!$B$5:$H$91,7,FALSE)="","",VLOOKUP($C301,'Base produits'!$B$5:$H$91,7,FALSE)),""))</f>
        <v/>
      </c>
      <c r="G301" s="21">
        <f>IF(OR($C301="",$E301="",$F301=""),"",$E301*$F301)</f>
        <v/>
      </c>
      <c r="H301" s="29" t="n"/>
    </row>
    <row r="302">
      <c r="A302" s="30" t="n"/>
      <c r="B302" s="29" t="n"/>
      <c r="C302" s="23" t="n"/>
      <c r="D302" s="31">
        <f>IF($C302="","",IFERROR(VLOOKUP($C302,'Base produits'!$B$5:$F$91,5,FALSE),""))</f>
        <v/>
      </c>
      <c r="E302" s="23" t="n"/>
      <c r="F302" s="19">
        <f>IF($C302="","",IFERROR(IF(VLOOKUP($C302,'Base produits'!$B$5:$H$91,7,FALSE)="","",VLOOKUP($C302,'Base produits'!$B$5:$H$91,7,FALSE)),""))</f>
        <v/>
      </c>
      <c r="G302" s="21">
        <f>IF(OR($C302="",$E302="",$F302=""),"",$E302*$F302)</f>
        <v/>
      </c>
      <c r="H302" s="29" t="n"/>
    </row>
    <row r="303">
      <c r="A303" s="30" t="n"/>
      <c r="B303" s="29" t="n"/>
      <c r="C303" s="23" t="n"/>
      <c r="D303" s="31">
        <f>IF($C303="","",IFERROR(VLOOKUP($C303,'Base produits'!$B$5:$F$91,5,FALSE),""))</f>
        <v/>
      </c>
      <c r="E303" s="23" t="n"/>
      <c r="F303" s="19">
        <f>IF($C303="","",IFERROR(IF(VLOOKUP($C303,'Base produits'!$B$5:$H$91,7,FALSE)="","",VLOOKUP($C303,'Base produits'!$B$5:$H$91,7,FALSE)),""))</f>
        <v/>
      </c>
      <c r="G303" s="21">
        <f>IF(OR($C303="",$E303="",$F303=""),"",$E303*$F303)</f>
        <v/>
      </c>
      <c r="H303" s="29" t="n"/>
    </row>
    <row r="304">
      <c r="A304" s="30" t="n"/>
      <c r="B304" s="29" t="n"/>
      <c r="C304" s="23" t="n"/>
      <c r="D304" s="31">
        <f>IF($C304="","",IFERROR(VLOOKUP($C304,'Base produits'!$B$5:$F$91,5,FALSE),""))</f>
        <v/>
      </c>
      <c r="E304" s="23" t="n"/>
      <c r="F304" s="19">
        <f>IF($C304="","",IFERROR(IF(VLOOKUP($C304,'Base produits'!$B$5:$H$91,7,FALSE)="","",VLOOKUP($C304,'Base produits'!$B$5:$H$91,7,FALSE)),""))</f>
        <v/>
      </c>
      <c r="G304" s="21">
        <f>IF(OR($C304="",$E304="",$F304=""),"",$E304*$F304)</f>
        <v/>
      </c>
      <c r="H304" s="29" t="n"/>
    </row>
    <row r="305">
      <c r="A305" s="30" t="n"/>
      <c r="B305" s="29" t="n"/>
      <c r="C305" s="23" t="n"/>
      <c r="D305" s="31">
        <f>IF($C305="","",IFERROR(VLOOKUP($C305,'Base produits'!$B$5:$F$91,5,FALSE),""))</f>
        <v/>
      </c>
      <c r="E305" s="23" t="n"/>
      <c r="F305" s="19">
        <f>IF($C305="","",IFERROR(IF(VLOOKUP($C305,'Base produits'!$B$5:$H$91,7,FALSE)="","",VLOOKUP($C305,'Base produits'!$B$5:$H$91,7,FALSE)),""))</f>
        <v/>
      </c>
      <c r="G305" s="21">
        <f>IF(OR($C305="",$E305="",$F305=""),"",$E305*$F305)</f>
        <v/>
      </c>
      <c r="H305" s="29" t="n"/>
    </row>
    <row r="306">
      <c r="A306" s="30" t="n"/>
      <c r="B306" s="29" t="n"/>
      <c r="C306" s="23" t="n"/>
      <c r="D306" s="31">
        <f>IF($C306="","",IFERROR(VLOOKUP($C306,'Base produits'!$B$5:$F$91,5,FALSE),""))</f>
        <v/>
      </c>
      <c r="E306" s="23" t="n"/>
      <c r="F306" s="19">
        <f>IF($C306="","",IFERROR(IF(VLOOKUP($C306,'Base produits'!$B$5:$H$91,7,FALSE)="","",VLOOKUP($C306,'Base produits'!$B$5:$H$91,7,FALSE)),""))</f>
        <v/>
      </c>
      <c r="G306" s="21">
        <f>IF(OR($C306="",$E306="",$F306=""),"",$E306*$F306)</f>
        <v/>
      </c>
      <c r="H306" s="29" t="n"/>
    </row>
    <row r="307">
      <c r="A307" s="30" t="n"/>
      <c r="B307" s="29" t="n"/>
      <c r="C307" s="23" t="n"/>
      <c r="D307" s="31">
        <f>IF($C307="","",IFERROR(VLOOKUP($C307,'Base produits'!$B$5:$F$91,5,FALSE),""))</f>
        <v/>
      </c>
      <c r="E307" s="23" t="n"/>
      <c r="F307" s="19">
        <f>IF($C307="","",IFERROR(IF(VLOOKUP($C307,'Base produits'!$B$5:$H$91,7,FALSE)="","",VLOOKUP($C307,'Base produits'!$B$5:$H$91,7,FALSE)),""))</f>
        <v/>
      </c>
      <c r="G307" s="21">
        <f>IF(OR($C307="",$E307="",$F307=""),"",$E307*$F307)</f>
        <v/>
      </c>
      <c r="H307" s="29" t="n"/>
    </row>
    <row r="308">
      <c r="A308" s="30" t="n"/>
      <c r="B308" s="29" t="n"/>
      <c r="C308" s="23" t="n"/>
      <c r="D308" s="31">
        <f>IF($C308="","",IFERROR(VLOOKUP($C308,'Base produits'!$B$5:$F$91,5,FALSE),""))</f>
        <v/>
      </c>
      <c r="E308" s="23" t="n"/>
      <c r="F308" s="19">
        <f>IF($C308="","",IFERROR(IF(VLOOKUP($C308,'Base produits'!$B$5:$H$91,7,FALSE)="","",VLOOKUP($C308,'Base produits'!$B$5:$H$91,7,FALSE)),""))</f>
        <v/>
      </c>
      <c r="G308" s="21">
        <f>IF(OR($C308="",$E308="",$F308=""),"",$E308*$F308)</f>
        <v/>
      </c>
      <c r="H308" s="29" t="n"/>
    </row>
    <row r="309">
      <c r="A309" s="30" t="n"/>
      <c r="B309" s="29" t="n"/>
      <c r="C309" s="23" t="n"/>
      <c r="D309" s="31">
        <f>IF($C309="","",IFERROR(VLOOKUP($C309,'Base produits'!$B$5:$F$91,5,FALSE),""))</f>
        <v/>
      </c>
      <c r="E309" s="23" t="n"/>
      <c r="F309" s="19">
        <f>IF($C309="","",IFERROR(IF(VLOOKUP($C309,'Base produits'!$B$5:$H$91,7,FALSE)="","",VLOOKUP($C309,'Base produits'!$B$5:$H$91,7,FALSE)),""))</f>
        <v/>
      </c>
      <c r="G309" s="21">
        <f>IF(OR($C309="",$E309="",$F309=""),"",$E309*$F309)</f>
        <v/>
      </c>
      <c r="H309" s="29" t="n"/>
    </row>
    <row r="310">
      <c r="A310" s="30" t="n"/>
      <c r="B310" s="29" t="n"/>
      <c r="C310" s="23" t="n"/>
      <c r="D310" s="31">
        <f>IF($C310="","",IFERROR(VLOOKUP($C310,'Base produits'!$B$5:$F$91,5,FALSE),""))</f>
        <v/>
      </c>
      <c r="E310" s="23" t="n"/>
      <c r="F310" s="19">
        <f>IF($C310="","",IFERROR(IF(VLOOKUP($C310,'Base produits'!$B$5:$H$91,7,FALSE)="","",VLOOKUP($C310,'Base produits'!$B$5:$H$91,7,FALSE)),""))</f>
        <v/>
      </c>
      <c r="G310" s="21">
        <f>IF(OR($C310="",$E310="",$F310=""),"",$E310*$F310)</f>
        <v/>
      </c>
      <c r="H310" s="29" t="n"/>
    </row>
    <row r="311">
      <c r="A311" s="30" t="n"/>
      <c r="B311" s="29" t="n"/>
      <c r="C311" s="23" t="n"/>
      <c r="D311" s="31">
        <f>IF($C311="","",IFERROR(VLOOKUP($C311,'Base produits'!$B$5:$F$91,5,FALSE),""))</f>
        <v/>
      </c>
      <c r="E311" s="23" t="n"/>
      <c r="F311" s="19">
        <f>IF($C311="","",IFERROR(IF(VLOOKUP($C311,'Base produits'!$B$5:$H$91,7,FALSE)="","",VLOOKUP($C311,'Base produits'!$B$5:$H$91,7,FALSE)),""))</f>
        <v/>
      </c>
      <c r="G311" s="21">
        <f>IF(OR($C311="",$E311="",$F311=""),"",$E311*$F311)</f>
        <v/>
      </c>
      <c r="H311" s="29" t="n"/>
    </row>
    <row r="312">
      <c r="A312" s="30" t="n"/>
      <c r="B312" s="29" t="n"/>
      <c r="C312" s="23" t="n"/>
      <c r="D312" s="31">
        <f>IF($C312="","",IFERROR(VLOOKUP($C312,'Base produits'!$B$5:$F$91,5,FALSE),""))</f>
        <v/>
      </c>
      <c r="E312" s="23" t="n"/>
      <c r="F312" s="19">
        <f>IF($C312="","",IFERROR(IF(VLOOKUP($C312,'Base produits'!$B$5:$H$91,7,FALSE)="","",VLOOKUP($C312,'Base produits'!$B$5:$H$91,7,FALSE)),""))</f>
        <v/>
      </c>
      <c r="G312" s="21">
        <f>IF(OR($C312="",$E312="",$F312=""),"",$E312*$F312)</f>
        <v/>
      </c>
      <c r="H312" s="29" t="n"/>
    </row>
    <row r="313">
      <c r="A313" s="30" t="n"/>
      <c r="B313" s="29" t="n"/>
      <c r="C313" s="23" t="n"/>
      <c r="D313" s="31">
        <f>IF($C313="","",IFERROR(VLOOKUP($C313,'Base produits'!$B$5:$F$91,5,FALSE),""))</f>
        <v/>
      </c>
      <c r="E313" s="23" t="n"/>
      <c r="F313" s="19">
        <f>IF($C313="","",IFERROR(IF(VLOOKUP($C313,'Base produits'!$B$5:$H$91,7,FALSE)="","",VLOOKUP($C313,'Base produits'!$B$5:$H$91,7,FALSE)),""))</f>
        <v/>
      </c>
      <c r="G313" s="21">
        <f>IF(OR($C313="",$E313="",$F313=""),"",$E313*$F313)</f>
        <v/>
      </c>
      <c r="H313" s="29" t="n"/>
    </row>
    <row r="314">
      <c r="A314" s="30" t="n"/>
      <c r="B314" s="29" t="n"/>
      <c r="C314" s="23" t="n"/>
      <c r="D314" s="31">
        <f>IF($C314="","",IFERROR(VLOOKUP($C314,'Base produits'!$B$5:$F$91,5,FALSE),""))</f>
        <v/>
      </c>
      <c r="E314" s="23" t="n"/>
      <c r="F314" s="19">
        <f>IF($C314="","",IFERROR(IF(VLOOKUP($C314,'Base produits'!$B$5:$H$91,7,FALSE)="","",VLOOKUP($C314,'Base produits'!$B$5:$H$91,7,FALSE)),""))</f>
        <v/>
      </c>
      <c r="G314" s="21">
        <f>IF(OR($C314="",$E314="",$F314=""),"",$E314*$F314)</f>
        <v/>
      </c>
      <c r="H314" s="29" t="n"/>
    </row>
    <row r="315">
      <c r="A315" s="30" t="n"/>
      <c r="B315" s="29" t="n"/>
      <c r="C315" s="23" t="n"/>
      <c r="D315" s="31">
        <f>IF($C315="","",IFERROR(VLOOKUP($C315,'Base produits'!$B$5:$F$91,5,FALSE),""))</f>
        <v/>
      </c>
      <c r="E315" s="23" t="n"/>
      <c r="F315" s="19">
        <f>IF($C315="","",IFERROR(IF(VLOOKUP($C315,'Base produits'!$B$5:$H$91,7,FALSE)="","",VLOOKUP($C315,'Base produits'!$B$5:$H$91,7,FALSE)),""))</f>
        <v/>
      </c>
      <c r="G315" s="21">
        <f>IF(OR($C315="",$E315="",$F315=""),"",$E315*$F315)</f>
        <v/>
      </c>
      <c r="H315" s="29" t="n"/>
    </row>
    <row r="316">
      <c r="A316" s="30" t="n"/>
      <c r="B316" s="29" t="n"/>
      <c r="C316" s="23" t="n"/>
      <c r="D316" s="31">
        <f>IF($C316="","",IFERROR(VLOOKUP($C316,'Base produits'!$B$5:$F$91,5,FALSE),""))</f>
        <v/>
      </c>
      <c r="E316" s="23" t="n"/>
      <c r="F316" s="19">
        <f>IF($C316="","",IFERROR(IF(VLOOKUP($C316,'Base produits'!$B$5:$H$91,7,FALSE)="","",VLOOKUP($C316,'Base produits'!$B$5:$H$91,7,FALSE)),""))</f>
        <v/>
      </c>
      <c r="G316" s="21">
        <f>IF(OR($C316="",$E316="",$F316=""),"",$E316*$F316)</f>
        <v/>
      </c>
      <c r="H316" s="29" t="n"/>
    </row>
    <row r="317">
      <c r="A317" s="30" t="n"/>
      <c r="B317" s="29" t="n"/>
      <c r="C317" s="23" t="n"/>
      <c r="D317" s="31">
        <f>IF($C317="","",IFERROR(VLOOKUP($C317,'Base produits'!$B$5:$F$91,5,FALSE),""))</f>
        <v/>
      </c>
      <c r="E317" s="23" t="n"/>
      <c r="F317" s="19">
        <f>IF($C317="","",IFERROR(IF(VLOOKUP($C317,'Base produits'!$B$5:$H$91,7,FALSE)="","",VLOOKUP($C317,'Base produits'!$B$5:$H$91,7,FALSE)),""))</f>
        <v/>
      </c>
      <c r="G317" s="21">
        <f>IF(OR($C317="",$E317="",$F317=""),"",$E317*$F317)</f>
        <v/>
      </c>
      <c r="H317" s="29" t="n"/>
    </row>
    <row r="318">
      <c r="A318" s="30" t="n"/>
      <c r="B318" s="29" t="n"/>
      <c r="C318" s="23" t="n"/>
      <c r="D318" s="31">
        <f>IF($C318="","",IFERROR(VLOOKUP($C318,'Base produits'!$B$5:$F$91,5,FALSE),""))</f>
        <v/>
      </c>
      <c r="E318" s="23" t="n"/>
      <c r="F318" s="19">
        <f>IF($C318="","",IFERROR(IF(VLOOKUP($C318,'Base produits'!$B$5:$H$91,7,FALSE)="","",VLOOKUP($C318,'Base produits'!$B$5:$H$91,7,FALSE)),""))</f>
        <v/>
      </c>
      <c r="G318" s="21">
        <f>IF(OR($C318="",$E318="",$F318=""),"",$E318*$F318)</f>
        <v/>
      </c>
      <c r="H318" s="29" t="n"/>
    </row>
    <row r="319">
      <c r="A319" s="30" t="n"/>
      <c r="B319" s="29" t="n"/>
      <c r="C319" s="23" t="n"/>
      <c r="D319" s="31">
        <f>IF($C319="","",IFERROR(VLOOKUP($C319,'Base produits'!$B$5:$F$91,5,FALSE),""))</f>
        <v/>
      </c>
      <c r="E319" s="23" t="n"/>
      <c r="F319" s="19">
        <f>IF($C319="","",IFERROR(IF(VLOOKUP($C319,'Base produits'!$B$5:$H$91,7,FALSE)="","",VLOOKUP($C319,'Base produits'!$B$5:$H$91,7,FALSE)),""))</f>
        <v/>
      </c>
      <c r="G319" s="21">
        <f>IF(OR($C319="",$E319="",$F319=""),"",$E319*$F319)</f>
        <v/>
      </c>
      <c r="H319" s="29" t="n"/>
    </row>
    <row r="320">
      <c r="A320" s="30" t="n"/>
      <c r="B320" s="29" t="n"/>
      <c r="C320" s="23" t="n"/>
      <c r="D320" s="31">
        <f>IF($C320="","",IFERROR(VLOOKUP($C320,'Base produits'!$B$5:$F$91,5,FALSE),""))</f>
        <v/>
      </c>
      <c r="E320" s="23" t="n"/>
      <c r="F320" s="19">
        <f>IF($C320="","",IFERROR(IF(VLOOKUP($C320,'Base produits'!$B$5:$H$91,7,FALSE)="","",VLOOKUP($C320,'Base produits'!$B$5:$H$91,7,FALSE)),""))</f>
        <v/>
      </c>
      <c r="G320" s="21">
        <f>IF(OR($C320="",$E320="",$F320=""),"",$E320*$F320)</f>
        <v/>
      </c>
      <c r="H320" s="29" t="n"/>
    </row>
    <row r="321">
      <c r="A321" s="30" t="n"/>
      <c r="B321" s="29" t="n"/>
      <c r="C321" s="23" t="n"/>
      <c r="D321" s="31">
        <f>IF($C321="","",IFERROR(VLOOKUP($C321,'Base produits'!$B$5:$F$91,5,FALSE),""))</f>
        <v/>
      </c>
      <c r="E321" s="23" t="n"/>
      <c r="F321" s="19">
        <f>IF($C321="","",IFERROR(IF(VLOOKUP($C321,'Base produits'!$B$5:$H$91,7,FALSE)="","",VLOOKUP($C321,'Base produits'!$B$5:$H$91,7,FALSE)),""))</f>
        <v/>
      </c>
      <c r="G321" s="21">
        <f>IF(OR($C321="",$E321="",$F321=""),"",$E321*$F321)</f>
        <v/>
      </c>
      <c r="H321" s="29" t="n"/>
    </row>
    <row r="322">
      <c r="A322" s="30" t="n"/>
      <c r="B322" s="29" t="n"/>
      <c r="C322" s="23" t="n"/>
      <c r="D322" s="31">
        <f>IF($C322="","",IFERROR(VLOOKUP($C322,'Base produits'!$B$5:$F$91,5,FALSE),""))</f>
        <v/>
      </c>
      <c r="E322" s="23" t="n"/>
      <c r="F322" s="19">
        <f>IF($C322="","",IFERROR(IF(VLOOKUP($C322,'Base produits'!$B$5:$H$91,7,FALSE)="","",VLOOKUP($C322,'Base produits'!$B$5:$H$91,7,FALSE)),""))</f>
        <v/>
      </c>
      <c r="G322" s="21">
        <f>IF(OR($C322="",$E322="",$F322=""),"",$E322*$F322)</f>
        <v/>
      </c>
      <c r="H322" s="29" t="n"/>
    </row>
    <row r="323">
      <c r="A323" s="30" t="n"/>
      <c r="B323" s="29" t="n"/>
      <c r="C323" s="23" t="n"/>
      <c r="D323" s="31">
        <f>IF($C323="","",IFERROR(VLOOKUP($C323,'Base produits'!$B$5:$F$91,5,FALSE),""))</f>
        <v/>
      </c>
      <c r="E323" s="23" t="n"/>
      <c r="F323" s="19">
        <f>IF($C323="","",IFERROR(IF(VLOOKUP($C323,'Base produits'!$B$5:$H$91,7,FALSE)="","",VLOOKUP($C323,'Base produits'!$B$5:$H$91,7,FALSE)),""))</f>
        <v/>
      </c>
      <c r="G323" s="21">
        <f>IF(OR($C323="",$E323="",$F323=""),"",$E323*$F323)</f>
        <v/>
      </c>
      <c r="H323" s="29" t="n"/>
    </row>
    <row r="324">
      <c r="A324" s="30" t="n"/>
      <c r="B324" s="29" t="n"/>
      <c r="C324" s="23" t="n"/>
      <c r="D324" s="31">
        <f>IF($C324="","",IFERROR(VLOOKUP($C324,'Base produits'!$B$5:$F$91,5,FALSE),""))</f>
        <v/>
      </c>
      <c r="E324" s="23" t="n"/>
      <c r="F324" s="19">
        <f>IF($C324="","",IFERROR(IF(VLOOKUP($C324,'Base produits'!$B$5:$H$91,7,FALSE)="","",VLOOKUP($C324,'Base produits'!$B$5:$H$91,7,FALSE)),""))</f>
        <v/>
      </c>
      <c r="G324" s="21">
        <f>IF(OR($C324="",$E324="",$F324=""),"",$E324*$F324)</f>
        <v/>
      </c>
      <c r="H324" s="29" t="n"/>
    </row>
    <row r="325">
      <c r="A325" s="30" t="n"/>
      <c r="B325" s="29" t="n"/>
      <c r="C325" s="23" t="n"/>
      <c r="D325" s="31">
        <f>IF($C325="","",IFERROR(VLOOKUP($C325,'Base produits'!$B$5:$F$91,5,FALSE),""))</f>
        <v/>
      </c>
      <c r="E325" s="23" t="n"/>
      <c r="F325" s="19">
        <f>IF($C325="","",IFERROR(IF(VLOOKUP($C325,'Base produits'!$B$5:$H$91,7,FALSE)="","",VLOOKUP($C325,'Base produits'!$B$5:$H$91,7,FALSE)),""))</f>
        <v/>
      </c>
      <c r="G325" s="21">
        <f>IF(OR($C325="",$E325="",$F325=""),"",$E325*$F325)</f>
        <v/>
      </c>
      <c r="H325" s="29" t="n"/>
    </row>
    <row r="326">
      <c r="A326" s="30" t="n"/>
      <c r="B326" s="29" t="n"/>
      <c r="C326" s="23" t="n"/>
      <c r="D326" s="31">
        <f>IF($C326="","",IFERROR(VLOOKUP($C326,'Base produits'!$B$5:$F$91,5,FALSE),""))</f>
        <v/>
      </c>
      <c r="E326" s="23" t="n"/>
      <c r="F326" s="19">
        <f>IF($C326="","",IFERROR(IF(VLOOKUP($C326,'Base produits'!$B$5:$H$91,7,FALSE)="","",VLOOKUP($C326,'Base produits'!$B$5:$H$91,7,FALSE)),""))</f>
        <v/>
      </c>
      <c r="G326" s="21">
        <f>IF(OR($C326="",$E326="",$F326=""),"",$E326*$F326)</f>
        <v/>
      </c>
      <c r="H326" s="29" t="n"/>
    </row>
    <row r="327">
      <c r="A327" s="30" t="n"/>
      <c r="B327" s="29" t="n"/>
      <c r="C327" s="23" t="n"/>
      <c r="D327" s="31">
        <f>IF($C327="","",IFERROR(VLOOKUP($C327,'Base produits'!$B$5:$F$91,5,FALSE),""))</f>
        <v/>
      </c>
      <c r="E327" s="23" t="n"/>
      <c r="F327" s="19">
        <f>IF($C327="","",IFERROR(IF(VLOOKUP($C327,'Base produits'!$B$5:$H$91,7,FALSE)="","",VLOOKUP($C327,'Base produits'!$B$5:$H$91,7,FALSE)),""))</f>
        <v/>
      </c>
      <c r="G327" s="21">
        <f>IF(OR($C327="",$E327="",$F327=""),"",$E327*$F327)</f>
        <v/>
      </c>
      <c r="H327" s="29" t="n"/>
    </row>
    <row r="328">
      <c r="A328" s="30" t="n"/>
      <c r="B328" s="29" t="n"/>
      <c r="C328" s="23" t="n"/>
      <c r="D328" s="31">
        <f>IF($C328="","",IFERROR(VLOOKUP($C328,'Base produits'!$B$5:$F$91,5,FALSE),""))</f>
        <v/>
      </c>
      <c r="E328" s="23" t="n"/>
      <c r="F328" s="19">
        <f>IF($C328="","",IFERROR(IF(VLOOKUP($C328,'Base produits'!$B$5:$H$91,7,FALSE)="","",VLOOKUP($C328,'Base produits'!$B$5:$H$91,7,FALSE)),""))</f>
        <v/>
      </c>
      <c r="G328" s="21">
        <f>IF(OR($C328="",$E328="",$F328=""),"",$E328*$F328)</f>
        <v/>
      </c>
      <c r="H328" s="29" t="n"/>
    </row>
    <row r="329">
      <c r="A329" s="30" t="n"/>
      <c r="B329" s="29" t="n"/>
      <c r="C329" s="23" t="n"/>
      <c r="D329" s="31">
        <f>IF($C329="","",IFERROR(VLOOKUP($C329,'Base produits'!$B$5:$F$91,5,FALSE),""))</f>
        <v/>
      </c>
      <c r="E329" s="23" t="n"/>
      <c r="F329" s="19">
        <f>IF($C329="","",IFERROR(IF(VLOOKUP($C329,'Base produits'!$B$5:$H$91,7,FALSE)="","",VLOOKUP($C329,'Base produits'!$B$5:$H$91,7,FALSE)),""))</f>
        <v/>
      </c>
      <c r="G329" s="21">
        <f>IF(OR($C329="",$E329="",$F329=""),"",$E329*$F329)</f>
        <v/>
      </c>
      <c r="H329" s="29" t="n"/>
    </row>
    <row r="330">
      <c r="A330" s="30" t="n"/>
      <c r="B330" s="29" t="n"/>
      <c r="C330" s="23" t="n"/>
      <c r="D330" s="31">
        <f>IF($C330="","",IFERROR(VLOOKUP($C330,'Base produits'!$B$5:$F$91,5,FALSE),""))</f>
        <v/>
      </c>
      <c r="E330" s="23" t="n"/>
      <c r="F330" s="19">
        <f>IF($C330="","",IFERROR(IF(VLOOKUP($C330,'Base produits'!$B$5:$H$91,7,FALSE)="","",VLOOKUP($C330,'Base produits'!$B$5:$H$91,7,FALSE)),""))</f>
        <v/>
      </c>
      <c r="G330" s="21">
        <f>IF(OR($C330="",$E330="",$F330=""),"",$E330*$F330)</f>
        <v/>
      </c>
      <c r="H330" s="29" t="n"/>
    </row>
    <row r="331">
      <c r="A331" s="30" t="n"/>
      <c r="B331" s="29" t="n"/>
      <c r="C331" s="23" t="n"/>
      <c r="D331" s="31">
        <f>IF($C331="","",IFERROR(VLOOKUP($C331,'Base produits'!$B$5:$F$91,5,FALSE),""))</f>
        <v/>
      </c>
      <c r="E331" s="23" t="n"/>
      <c r="F331" s="19">
        <f>IF($C331="","",IFERROR(IF(VLOOKUP($C331,'Base produits'!$B$5:$H$91,7,FALSE)="","",VLOOKUP($C331,'Base produits'!$B$5:$H$91,7,FALSE)),""))</f>
        <v/>
      </c>
      <c r="G331" s="21">
        <f>IF(OR($C331="",$E331="",$F331=""),"",$E331*$F331)</f>
        <v/>
      </c>
      <c r="H331" s="29" t="n"/>
    </row>
    <row r="332">
      <c r="A332" s="30" t="n"/>
      <c r="B332" s="29" t="n"/>
      <c r="C332" s="23" t="n"/>
      <c r="D332" s="31">
        <f>IF($C332="","",IFERROR(VLOOKUP($C332,'Base produits'!$B$5:$F$91,5,FALSE),""))</f>
        <v/>
      </c>
      <c r="E332" s="23" t="n"/>
      <c r="F332" s="19">
        <f>IF($C332="","",IFERROR(IF(VLOOKUP($C332,'Base produits'!$B$5:$H$91,7,FALSE)="","",VLOOKUP($C332,'Base produits'!$B$5:$H$91,7,FALSE)),""))</f>
        <v/>
      </c>
      <c r="G332" s="21">
        <f>IF(OR($C332="",$E332="",$F332=""),"",$E332*$F332)</f>
        <v/>
      </c>
      <c r="H332" s="29" t="n"/>
    </row>
    <row r="333">
      <c r="A333" s="30" t="n"/>
      <c r="B333" s="29" t="n"/>
      <c r="C333" s="23" t="n"/>
      <c r="D333" s="31">
        <f>IF($C333="","",IFERROR(VLOOKUP($C333,'Base produits'!$B$5:$F$91,5,FALSE),""))</f>
        <v/>
      </c>
      <c r="E333" s="23" t="n"/>
      <c r="F333" s="19">
        <f>IF($C333="","",IFERROR(IF(VLOOKUP($C333,'Base produits'!$B$5:$H$91,7,FALSE)="","",VLOOKUP($C333,'Base produits'!$B$5:$H$91,7,FALSE)),""))</f>
        <v/>
      </c>
      <c r="G333" s="21">
        <f>IF(OR($C333="",$E333="",$F333=""),"",$E333*$F333)</f>
        <v/>
      </c>
      <c r="H333" s="29" t="n"/>
    </row>
    <row r="334">
      <c r="A334" s="30" t="n"/>
      <c r="B334" s="29" t="n"/>
      <c r="C334" s="23" t="n"/>
      <c r="D334" s="31">
        <f>IF($C334="","",IFERROR(VLOOKUP($C334,'Base produits'!$B$5:$F$91,5,FALSE),""))</f>
        <v/>
      </c>
      <c r="E334" s="23" t="n"/>
      <c r="F334" s="19">
        <f>IF($C334="","",IFERROR(IF(VLOOKUP($C334,'Base produits'!$B$5:$H$91,7,FALSE)="","",VLOOKUP($C334,'Base produits'!$B$5:$H$91,7,FALSE)),""))</f>
        <v/>
      </c>
      <c r="G334" s="21">
        <f>IF(OR($C334="",$E334="",$F334=""),"",$E334*$F334)</f>
        <v/>
      </c>
      <c r="H334" s="29" t="n"/>
    </row>
    <row r="335">
      <c r="A335" s="30" t="n"/>
      <c r="B335" s="29" t="n"/>
      <c r="C335" s="23" t="n"/>
      <c r="D335" s="31">
        <f>IF($C335="","",IFERROR(VLOOKUP($C335,'Base produits'!$B$5:$F$91,5,FALSE),""))</f>
        <v/>
      </c>
      <c r="E335" s="23" t="n"/>
      <c r="F335" s="19">
        <f>IF($C335="","",IFERROR(IF(VLOOKUP($C335,'Base produits'!$B$5:$H$91,7,FALSE)="","",VLOOKUP($C335,'Base produits'!$B$5:$H$91,7,FALSE)),""))</f>
        <v/>
      </c>
      <c r="G335" s="21">
        <f>IF(OR($C335="",$E335="",$F335=""),"",$E335*$F335)</f>
        <v/>
      </c>
      <c r="H335" s="29" t="n"/>
    </row>
    <row r="336">
      <c r="A336" s="30" t="n"/>
      <c r="B336" s="29" t="n"/>
      <c r="C336" s="23" t="n"/>
      <c r="D336" s="31">
        <f>IF($C336="","",IFERROR(VLOOKUP($C336,'Base produits'!$B$5:$F$91,5,FALSE),""))</f>
        <v/>
      </c>
      <c r="E336" s="23" t="n"/>
      <c r="F336" s="19">
        <f>IF($C336="","",IFERROR(IF(VLOOKUP($C336,'Base produits'!$B$5:$H$91,7,FALSE)="","",VLOOKUP($C336,'Base produits'!$B$5:$H$91,7,FALSE)),""))</f>
        <v/>
      </c>
      <c r="G336" s="21">
        <f>IF(OR($C336="",$E336="",$F336=""),"",$E336*$F336)</f>
        <v/>
      </c>
      <c r="H336" s="29" t="n"/>
    </row>
    <row r="337">
      <c r="A337" s="30" t="n"/>
      <c r="B337" s="29" t="n"/>
      <c r="C337" s="23" t="n"/>
      <c r="D337" s="31">
        <f>IF($C337="","",IFERROR(VLOOKUP($C337,'Base produits'!$B$5:$F$91,5,FALSE),""))</f>
        <v/>
      </c>
      <c r="E337" s="23" t="n"/>
      <c r="F337" s="19">
        <f>IF($C337="","",IFERROR(IF(VLOOKUP($C337,'Base produits'!$B$5:$H$91,7,FALSE)="","",VLOOKUP($C337,'Base produits'!$B$5:$H$91,7,FALSE)),""))</f>
        <v/>
      </c>
      <c r="G337" s="21">
        <f>IF(OR($C337="",$E337="",$F337=""),"",$E337*$F337)</f>
        <v/>
      </c>
      <c r="H337" s="29" t="n"/>
    </row>
    <row r="338">
      <c r="A338" s="30" t="n"/>
      <c r="B338" s="29" t="n"/>
      <c r="C338" s="23" t="n"/>
      <c r="D338" s="31">
        <f>IF($C338="","",IFERROR(VLOOKUP($C338,'Base produits'!$B$5:$F$91,5,FALSE),""))</f>
        <v/>
      </c>
      <c r="E338" s="23" t="n"/>
      <c r="F338" s="19">
        <f>IF($C338="","",IFERROR(IF(VLOOKUP($C338,'Base produits'!$B$5:$H$91,7,FALSE)="","",VLOOKUP($C338,'Base produits'!$B$5:$H$91,7,FALSE)),""))</f>
        <v/>
      </c>
      <c r="G338" s="21">
        <f>IF(OR($C338="",$E338="",$F338=""),"",$E338*$F338)</f>
        <v/>
      </c>
      <c r="H338" s="29" t="n"/>
    </row>
    <row r="339">
      <c r="A339" s="30" t="n"/>
      <c r="B339" s="29" t="n"/>
      <c r="C339" s="23" t="n"/>
      <c r="D339" s="31">
        <f>IF($C339="","",IFERROR(VLOOKUP($C339,'Base produits'!$B$5:$F$91,5,FALSE),""))</f>
        <v/>
      </c>
      <c r="E339" s="23" t="n"/>
      <c r="F339" s="19">
        <f>IF($C339="","",IFERROR(IF(VLOOKUP($C339,'Base produits'!$B$5:$H$91,7,FALSE)="","",VLOOKUP($C339,'Base produits'!$B$5:$H$91,7,FALSE)),""))</f>
        <v/>
      </c>
      <c r="G339" s="21">
        <f>IF(OR($C339="",$E339="",$F339=""),"",$E339*$F339)</f>
        <v/>
      </c>
      <c r="H339" s="29" t="n"/>
    </row>
    <row r="340">
      <c r="A340" s="30" t="n"/>
      <c r="B340" s="29" t="n"/>
      <c r="C340" s="23" t="n"/>
      <c r="D340" s="31">
        <f>IF($C340="","",IFERROR(VLOOKUP($C340,'Base produits'!$B$5:$F$91,5,FALSE),""))</f>
        <v/>
      </c>
      <c r="E340" s="23" t="n"/>
      <c r="F340" s="19">
        <f>IF($C340="","",IFERROR(IF(VLOOKUP($C340,'Base produits'!$B$5:$H$91,7,FALSE)="","",VLOOKUP($C340,'Base produits'!$B$5:$H$91,7,FALSE)),""))</f>
        <v/>
      </c>
      <c r="G340" s="21">
        <f>IF(OR($C340="",$E340="",$F340=""),"",$E340*$F340)</f>
        <v/>
      </c>
      <c r="H340" s="29" t="n"/>
    </row>
    <row r="341">
      <c r="A341" s="30" t="n"/>
      <c r="B341" s="29" t="n"/>
      <c r="C341" s="23" t="n"/>
      <c r="D341" s="31">
        <f>IF($C341="","",IFERROR(VLOOKUP($C341,'Base produits'!$B$5:$F$91,5,FALSE),""))</f>
        <v/>
      </c>
      <c r="E341" s="23" t="n"/>
      <c r="F341" s="19">
        <f>IF($C341="","",IFERROR(IF(VLOOKUP($C341,'Base produits'!$B$5:$H$91,7,FALSE)="","",VLOOKUP($C341,'Base produits'!$B$5:$H$91,7,FALSE)),""))</f>
        <v/>
      </c>
      <c r="G341" s="21">
        <f>IF(OR($C341="",$E341="",$F341=""),"",$E341*$F341)</f>
        <v/>
      </c>
      <c r="H341" s="29" t="n"/>
    </row>
    <row r="342">
      <c r="A342" s="30" t="n"/>
      <c r="B342" s="29" t="n"/>
      <c r="C342" s="23" t="n"/>
      <c r="D342" s="31">
        <f>IF($C342="","",IFERROR(VLOOKUP($C342,'Base produits'!$B$5:$F$91,5,FALSE),""))</f>
        <v/>
      </c>
      <c r="E342" s="23" t="n"/>
      <c r="F342" s="19">
        <f>IF($C342="","",IFERROR(IF(VLOOKUP($C342,'Base produits'!$B$5:$H$91,7,FALSE)="","",VLOOKUP($C342,'Base produits'!$B$5:$H$91,7,FALSE)),""))</f>
        <v/>
      </c>
      <c r="G342" s="21">
        <f>IF(OR($C342="",$E342="",$F342=""),"",$E342*$F342)</f>
        <v/>
      </c>
      <c r="H342" s="29" t="n"/>
    </row>
    <row r="343">
      <c r="A343" s="30" t="n"/>
      <c r="B343" s="29" t="n"/>
      <c r="C343" s="23" t="n"/>
      <c r="D343" s="31">
        <f>IF($C343="","",IFERROR(VLOOKUP($C343,'Base produits'!$B$5:$F$91,5,FALSE),""))</f>
        <v/>
      </c>
      <c r="E343" s="23" t="n"/>
      <c r="F343" s="19">
        <f>IF($C343="","",IFERROR(IF(VLOOKUP($C343,'Base produits'!$B$5:$H$91,7,FALSE)="","",VLOOKUP($C343,'Base produits'!$B$5:$H$91,7,FALSE)),""))</f>
        <v/>
      </c>
      <c r="G343" s="21">
        <f>IF(OR($C343="",$E343="",$F343=""),"",$E343*$F343)</f>
        <v/>
      </c>
      <c r="H343" s="29" t="n"/>
    </row>
    <row r="344">
      <c r="A344" s="30" t="n"/>
      <c r="B344" s="29" t="n"/>
      <c r="C344" s="23" t="n"/>
      <c r="D344" s="31">
        <f>IF($C344="","",IFERROR(VLOOKUP($C344,'Base produits'!$B$5:$F$91,5,FALSE),""))</f>
        <v/>
      </c>
      <c r="E344" s="23" t="n"/>
      <c r="F344" s="19">
        <f>IF($C344="","",IFERROR(IF(VLOOKUP($C344,'Base produits'!$B$5:$H$91,7,FALSE)="","",VLOOKUP($C344,'Base produits'!$B$5:$H$91,7,FALSE)),""))</f>
        <v/>
      </c>
      <c r="G344" s="21">
        <f>IF(OR($C344="",$E344="",$F344=""),"",$E344*$F344)</f>
        <v/>
      </c>
      <c r="H344" s="29" t="n"/>
    </row>
    <row r="345">
      <c r="A345" s="30" t="n"/>
      <c r="B345" s="29" t="n"/>
      <c r="C345" s="23" t="n"/>
      <c r="D345" s="31">
        <f>IF($C345="","",IFERROR(VLOOKUP($C345,'Base produits'!$B$5:$F$91,5,FALSE),""))</f>
        <v/>
      </c>
      <c r="E345" s="23" t="n"/>
      <c r="F345" s="19">
        <f>IF($C345="","",IFERROR(IF(VLOOKUP($C345,'Base produits'!$B$5:$H$91,7,FALSE)="","",VLOOKUP($C345,'Base produits'!$B$5:$H$91,7,FALSE)),""))</f>
        <v/>
      </c>
      <c r="G345" s="21">
        <f>IF(OR($C345="",$E345="",$F345=""),"",$E345*$F345)</f>
        <v/>
      </c>
      <c r="H345" s="29" t="n"/>
    </row>
    <row r="346">
      <c r="A346" s="30" t="n"/>
      <c r="B346" s="29" t="n"/>
      <c r="C346" s="23" t="n"/>
      <c r="D346" s="31">
        <f>IF($C346="","",IFERROR(VLOOKUP($C346,'Base produits'!$B$5:$F$91,5,FALSE),""))</f>
        <v/>
      </c>
      <c r="E346" s="23" t="n"/>
      <c r="F346" s="19">
        <f>IF($C346="","",IFERROR(IF(VLOOKUP($C346,'Base produits'!$B$5:$H$91,7,FALSE)="","",VLOOKUP($C346,'Base produits'!$B$5:$H$91,7,FALSE)),""))</f>
        <v/>
      </c>
      <c r="G346" s="21">
        <f>IF(OR($C346="",$E346="",$F346=""),"",$E346*$F346)</f>
        <v/>
      </c>
      <c r="H346" s="29" t="n"/>
    </row>
    <row r="347">
      <c r="A347" s="30" t="n"/>
      <c r="B347" s="29" t="n"/>
      <c r="C347" s="23" t="n"/>
      <c r="D347" s="31">
        <f>IF($C347="","",IFERROR(VLOOKUP($C347,'Base produits'!$B$5:$F$91,5,FALSE),""))</f>
        <v/>
      </c>
      <c r="E347" s="23" t="n"/>
      <c r="F347" s="19">
        <f>IF($C347="","",IFERROR(IF(VLOOKUP($C347,'Base produits'!$B$5:$H$91,7,FALSE)="","",VLOOKUP($C347,'Base produits'!$B$5:$H$91,7,FALSE)),""))</f>
        <v/>
      </c>
      <c r="G347" s="21">
        <f>IF(OR($C347="",$E347="",$F347=""),"",$E347*$F347)</f>
        <v/>
      </c>
      <c r="H347" s="29" t="n"/>
    </row>
    <row r="348">
      <c r="A348" s="30" t="n"/>
      <c r="B348" s="29" t="n"/>
      <c r="C348" s="23" t="n"/>
      <c r="D348" s="31">
        <f>IF($C348="","",IFERROR(VLOOKUP($C348,'Base produits'!$B$5:$F$91,5,FALSE),""))</f>
        <v/>
      </c>
      <c r="E348" s="23" t="n"/>
      <c r="F348" s="19">
        <f>IF($C348="","",IFERROR(IF(VLOOKUP($C348,'Base produits'!$B$5:$H$91,7,FALSE)="","",VLOOKUP($C348,'Base produits'!$B$5:$H$91,7,FALSE)),""))</f>
        <v/>
      </c>
      <c r="G348" s="21">
        <f>IF(OR($C348="",$E348="",$F348=""),"",$E348*$F348)</f>
        <v/>
      </c>
      <c r="H348" s="29" t="n"/>
    </row>
    <row r="349">
      <c r="A349" s="30" t="n"/>
      <c r="B349" s="29" t="n"/>
      <c r="C349" s="23" t="n"/>
      <c r="D349" s="31">
        <f>IF($C349="","",IFERROR(VLOOKUP($C349,'Base produits'!$B$5:$F$91,5,FALSE),""))</f>
        <v/>
      </c>
      <c r="E349" s="23" t="n"/>
      <c r="F349" s="19">
        <f>IF($C349="","",IFERROR(IF(VLOOKUP($C349,'Base produits'!$B$5:$H$91,7,FALSE)="","",VLOOKUP($C349,'Base produits'!$B$5:$H$91,7,FALSE)),""))</f>
        <v/>
      </c>
      <c r="G349" s="21">
        <f>IF(OR($C349="",$E349="",$F349=""),"",$E349*$F349)</f>
        <v/>
      </c>
      <c r="H349" s="29" t="n"/>
    </row>
    <row r="350">
      <c r="A350" s="30" t="n"/>
      <c r="B350" s="29" t="n"/>
      <c r="C350" s="23" t="n"/>
      <c r="D350" s="31">
        <f>IF($C350="","",IFERROR(VLOOKUP($C350,'Base produits'!$B$5:$F$91,5,FALSE),""))</f>
        <v/>
      </c>
      <c r="E350" s="23" t="n"/>
      <c r="F350" s="19">
        <f>IF($C350="","",IFERROR(IF(VLOOKUP($C350,'Base produits'!$B$5:$H$91,7,FALSE)="","",VLOOKUP($C350,'Base produits'!$B$5:$H$91,7,FALSE)),""))</f>
        <v/>
      </c>
      <c r="G350" s="21">
        <f>IF(OR($C350="",$E350="",$F350=""),"",$E350*$F350)</f>
        <v/>
      </c>
      <c r="H350" s="29" t="n"/>
    </row>
    <row r="351">
      <c r="A351" s="30" t="n"/>
      <c r="B351" s="29" t="n"/>
      <c r="C351" s="23" t="n"/>
      <c r="D351" s="31">
        <f>IF($C351="","",IFERROR(VLOOKUP($C351,'Base produits'!$B$5:$F$91,5,FALSE),""))</f>
        <v/>
      </c>
      <c r="E351" s="23" t="n"/>
      <c r="F351" s="19">
        <f>IF($C351="","",IFERROR(IF(VLOOKUP($C351,'Base produits'!$B$5:$H$91,7,FALSE)="","",VLOOKUP($C351,'Base produits'!$B$5:$H$91,7,FALSE)),""))</f>
        <v/>
      </c>
      <c r="G351" s="21">
        <f>IF(OR($C351="",$E351="",$F351=""),"",$E351*$F351)</f>
        <v/>
      </c>
      <c r="H351" s="29" t="n"/>
    </row>
    <row r="352">
      <c r="A352" s="30" t="n"/>
      <c r="B352" s="29" t="n"/>
      <c r="C352" s="23" t="n"/>
      <c r="D352" s="31">
        <f>IF($C352="","",IFERROR(VLOOKUP($C352,'Base produits'!$B$5:$F$91,5,FALSE),""))</f>
        <v/>
      </c>
      <c r="E352" s="23" t="n"/>
      <c r="F352" s="19">
        <f>IF($C352="","",IFERROR(IF(VLOOKUP($C352,'Base produits'!$B$5:$H$91,7,FALSE)="","",VLOOKUP($C352,'Base produits'!$B$5:$H$91,7,FALSE)),""))</f>
        <v/>
      </c>
      <c r="G352" s="21">
        <f>IF(OR($C352="",$E352="",$F352=""),"",$E352*$F352)</f>
        <v/>
      </c>
      <c r="H352" s="29" t="n"/>
    </row>
    <row r="353">
      <c r="A353" s="30" t="n"/>
      <c r="B353" s="29" t="n"/>
      <c r="C353" s="23" t="n"/>
      <c r="D353" s="31">
        <f>IF($C353="","",IFERROR(VLOOKUP($C353,'Base produits'!$B$5:$F$91,5,FALSE),""))</f>
        <v/>
      </c>
      <c r="E353" s="23" t="n"/>
      <c r="F353" s="19">
        <f>IF($C353="","",IFERROR(IF(VLOOKUP($C353,'Base produits'!$B$5:$H$91,7,FALSE)="","",VLOOKUP($C353,'Base produits'!$B$5:$H$91,7,FALSE)),""))</f>
        <v/>
      </c>
      <c r="G353" s="21">
        <f>IF(OR($C353="",$E353="",$F353=""),"",$E353*$F353)</f>
        <v/>
      </c>
      <c r="H353" s="29" t="n"/>
    </row>
    <row r="354">
      <c r="A354" s="30" t="n"/>
      <c r="B354" s="29" t="n"/>
      <c r="C354" s="23" t="n"/>
      <c r="D354" s="31">
        <f>IF($C354="","",IFERROR(VLOOKUP($C354,'Base produits'!$B$5:$F$91,5,FALSE),""))</f>
        <v/>
      </c>
      <c r="E354" s="23" t="n"/>
      <c r="F354" s="19">
        <f>IF($C354="","",IFERROR(IF(VLOOKUP($C354,'Base produits'!$B$5:$H$91,7,FALSE)="","",VLOOKUP($C354,'Base produits'!$B$5:$H$91,7,FALSE)),""))</f>
        <v/>
      </c>
      <c r="G354" s="21">
        <f>IF(OR($C354="",$E354="",$F354=""),"",$E354*$F354)</f>
        <v/>
      </c>
      <c r="H354" s="29" t="n"/>
    </row>
    <row r="355">
      <c r="A355" s="30" t="n"/>
      <c r="B355" s="29" t="n"/>
      <c r="C355" s="23" t="n"/>
      <c r="D355" s="31">
        <f>IF($C355="","",IFERROR(VLOOKUP($C355,'Base produits'!$B$5:$F$91,5,FALSE),""))</f>
        <v/>
      </c>
      <c r="E355" s="23" t="n"/>
      <c r="F355" s="19">
        <f>IF($C355="","",IFERROR(IF(VLOOKUP($C355,'Base produits'!$B$5:$H$91,7,FALSE)="","",VLOOKUP($C355,'Base produits'!$B$5:$H$91,7,FALSE)),""))</f>
        <v/>
      </c>
      <c r="G355" s="21">
        <f>IF(OR($C355="",$E355="",$F355=""),"",$E355*$F355)</f>
        <v/>
      </c>
      <c r="H355" s="29" t="n"/>
    </row>
    <row r="356">
      <c r="A356" s="30" t="n"/>
      <c r="B356" s="29" t="n"/>
      <c r="C356" s="23" t="n"/>
      <c r="D356" s="31">
        <f>IF($C356="","",IFERROR(VLOOKUP($C356,'Base produits'!$B$5:$F$91,5,FALSE),""))</f>
        <v/>
      </c>
      <c r="E356" s="23" t="n"/>
      <c r="F356" s="19">
        <f>IF($C356="","",IFERROR(IF(VLOOKUP($C356,'Base produits'!$B$5:$H$91,7,FALSE)="","",VLOOKUP($C356,'Base produits'!$B$5:$H$91,7,FALSE)),""))</f>
        <v/>
      </c>
      <c r="G356" s="21">
        <f>IF(OR($C356="",$E356="",$F356=""),"",$E356*$F356)</f>
        <v/>
      </c>
      <c r="H356" s="29" t="n"/>
    </row>
    <row r="357">
      <c r="A357" s="30" t="n"/>
      <c r="B357" s="29" t="n"/>
      <c r="C357" s="23" t="n"/>
      <c r="D357" s="31">
        <f>IF($C357="","",IFERROR(VLOOKUP($C357,'Base produits'!$B$5:$F$91,5,FALSE),""))</f>
        <v/>
      </c>
      <c r="E357" s="23" t="n"/>
      <c r="F357" s="19">
        <f>IF($C357="","",IFERROR(IF(VLOOKUP($C357,'Base produits'!$B$5:$H$91,7,FALSE)="","",VLOOKUP($C357,'Base produits'!$B$5:$H$91,7,FALSE)),""))</f>
        <v/>
      </c>
      <c r="G357" s="21">
        <f>IF(OR($C357="",$E357="",$F357=""),"",$E357*$F357)</f>
        <v/>
      </c>
      <c r="H357" s="29" t="n"/>
    </row>
    <row r="358">
      <c r="A358" s="30" t="n"/>
      <c r="B358" s="29" t="n"/>
      <c r="C358" s="23" t="n"/>
      <c r="D358" s="31">
        <f>IF($C358="","",IFERROR(VLOOKUP($C358,'Base produits'!$B$5:$F$91,5,FALSE),""))</f>
        <v/>
      </c>
      <c r="E358" s="23" t="n"/>
      <c r="F358" s="19">
        <f>IF($C358="","",IFERROR(IF(VLOOKUP($C358,'Base produits'!$B$5:$H$91,7,FALSE)="","",VLOOKUP($C358,'Base produits'!$B$5:$H$91,7,FALSE)),""))</f>
        <v/>
      </c>
      <c r="G358" s="21">
        <f>IF(OR($C358="",$E358="",$F358=""),"",$E358*$F358)</f>
        <v/>
      </c>
      <c r="H358" s="29" t="n"/>
    </row>
    <row r="359">
      <c r="A359" s="30" t="n"/>
      <c r="B359" s="29" t="n"/>
      <c r="C359" s="23" t="n"/>
      <c r="D359" s="31">
        <f>IF($C359="","",IFERROR(VLOOKUP($C359,'Base produits'!$B$5:$F$91,5,FALSE),""))</f>
        <v/>
      </c>
      <c r="E359" s="23" t="n"/>
      <c r="F359" s="19">
        <f>IF($C359="","",IFERROR(IF(VLOOKUP($C359,'Base produits'!$B$5:$H$91,7,FALSE)="","",VLOOKUP($C359,'Base produits'!$B$5:$H$91,7,FALSE)),""))</f>
        <v/>
      </c>
      <c r="G359" s="21">
        <f>IF(OR($C359="",$E359="",$F359=""),"",$E359*$F359)</f>
        <v/>
      </c>
      <c r="H359" s="29" t="n"/>
    </row>
    <row r="360">
      <c r="A360" s="30" t="n"/>
      <c r="B360" s="29" t="n"/>
      <c r="C360" s="23" t="n"/>
      <c r="D360" s="31">
        <f>IF($C360="","",IFERROR(VLOOKUP($C360,'Base produits'!$B$5:$F$91,5,FALSE),""))</f>
        <v/>
      </c>
      <c r="E360" s="23" t="n"/>
      <c r="F360" s="19">
        <f>IF($C360="","",IFERROR(IF(VLOOKUP($C360,'Base produits'!$B$5:$H$91,7,FALSE)="","",VLOOKUP($C360,'Base produits'!$B$5:$H$91,7,FALSE)),""))</f>
        <v/>
      </c>
      <c r="G360" s="21">
        <f>IF(OR($C360="",$E360="",$F360=""),"",$E360*$F360)</f>
        <v/>
      </c>
      <c r="H360" s="29" t="n"/>
    </row>
    <row r="361">
      <c r="A361" s="30" t="n"/>
      <c r="B361" s="29" t="n"/>
      <c r="C361" s="23" t="n"/>
      <c r="D361" s="31">
        <f>IF($C361="","",IFERROR(VLOOKUP($C361,'Base produits'!$B$5:$F$91,5,FALSE),""))</f>
        <v/>
      </c>
      <c r="E361" s="23" t="n"/>
      <c r="F361" s="19">
        <f>IF($C361="","",IFERROR(IF(VLOOKUP($C361,'Base produits'!$B$5:$H$91,7,FALSE)="","",VLOOKUP($C361,'Base produits'!$B$5:$H$91,7,FALSE)),""))</f>
        <v/>
      </c>
      <c r="G361" s="21">
        <f>IF(OR($C361="",$E361="",$F361=""),"",$E361*$F361)</f>
        <v/>
      </c>
      <c r="H361" s="29" t="n"/>
    </row>
    <row r="362">
      <c r="A362" s="30" t="n"/>
      <c r="B362" s="29" t="n"/>
      <c r="C362" s="23" t="n"/>
      <c r="D362" s="31">
        <f>IF($C362="","",IFERROR(VLOOKUP($C362,'Base produits'!$B$5:$F$91,5,FALSE),""))</f>
        <v/>
      </c>
      <c r="E362" s="23" t="n"/>
      <c r="F362" s="19">
        <f>IF($C362="","",IFERROR(IF(VLOOKUP($C362,'Base produits'!$B$5:$H$91,7,FALSE)="","",VLOOKUP($C362,'Base produits'!$B$5:$H$91,7,FALSE)),""))</f>
        <v/>
      </c>
      <c r="G362" s="21">
        <f>IF(OR($C362="",$E362="",$F362=""),"",$E362*$F362)</f>
        <v/>
      </c>
      <c r="H362" s="29" t="n"/>
    </row>
    <row r="363">
      <c r="A363" s="30" t="n"/>
      <c r="B363" s="29" t="n"/>
      <c r="C363" s="23" t="n"/>
      <c r="D363" s="31">
        <f>IF($C363="","",IFERROR(VLOOKUP($C363,'Base produits'!$B$5:$F$91,5,FALSE),""))</f>
        <v/>
      </c>
      <c r="E363" s="23" t="n"/>
      <c r="F363" s="19">
        <f>IF($C363="","",IFERROR(IF(VLOOKUP($C363,'Base produits'!$B$5:$H$91,7,FALSE)="","",VLOOKUP($C363,'Base produits'!$B$5:$H$91,7,FALSE)),""))</f>
        <v/>
      </c>
      <c r="G363" s="21">
        <f>IF(OR($C363="",$E363="",$F363=""),"",$E363*$F363)</f>
        <v/>
      </c>
      <c r="H363" s="29" t="n"/>
    </row>
    <row r="364">
      <c r="A364" s="30" t="n"/>
      <c r="B364" s="29" t="n"/>
      <c r="C364" s="23" t="n"/>
      <c r="D364" s="31">
        <f>IF($C364="","",IFERROR(VLOOKUP($C364,'Base produits'!$B$5:$F$91,5,FALSE),""))</f>
        <v/>
      </c>
      <c r="E364" s="23" t="n"/>
      <c r="F364" s="19">
        <f>IF($C364="","",IFERROR(IF(VLOOKUP($C364,'Base produits'!$B$5:$H$91,7,FALSE)="","",VLOOKUP($C364,'Base produits'!$B$5:$H$91,7,FALSE)),""))</f>
        <v/>
      </c>
      <c r="G364" s="21">
        <f>IF(OR($C364="",$E364="",$F364=""),"",$E364*$F364)</f>
        <v/>
      </c>
      <c r="H364" s="29" t="n"/>
    </row>
    <row r="365">
      <c r="A365" s="30" t="n"/>
      <c r="B365" s="29" t="n"/>
      <c r="C365" s="23" t="n"/>
      <c r="D365" s="31">
        <f>IF($C365="","",IFERROR(VLOOKUP($C365,'Base produits'!$B$5:$F$91,5,FALSE),""))</f>
        <v/>
      </c>
      <c r="E365" s="23" t="n"/>
      <c r="F365" s="19">
        <f>IF($C365="","",IFERROR(IF(VLOOKUP($C365,'Base produits'!$B$5:$H$91,7,FALSE)="","",VLOOKUP($C365,'Base produits'!$B$5:$H$91,7,FALSE)),""))</f>
        <v/>
      </c>
      <c r="G365" s="21">
        <f>IF(OR($C365="",$E365="",$F365=""),"",$E365*$F365)</f>
        <v/>
      </c>
      <c r="H365" s="29" t="n"/>
    </row>
    <row r="366">
      <c r="A366" s="30" t="n"/>
      <c r="B366" s="29" t="n"/>
      <c r="C366" s="23" t="n"/>
      <c r="D366" s="31">
        <f>IF($C366="","",IFERROR(VLOOKUP($C366,'Base produits'!$B$5:$F$91,5,FALSE),""))</f>
        <v/>
      </c>
      <c r="E366" s="23" t="n"/>
      <c r="F366" s="19">
        <f>IF($C366="","",IFERROR(IF(VLOOKUP($C366,'Base produits'!$B$5:$H$91,7,FALSE)="","",VLOOKUP($C366,'Base produits'!$B$5:$H$91,7,FALSE)),""))</f>
        <v/>
      </c>
      <c r="G366" s="21">
        <f>IF(OR($C366="",$E366="",$F366=""),"",$E366*$F366)</f>
        <v/>
      </c>
      <c r="H366" s="29" t="n"/>
    </row>
    <row r="367">
      <c r="A367" s="30" t="n"/>
      <c r="B367" s="29" t="n"/>
      <c r="C367" s="23" t="n"/>
      <c r="D367" s="31">
        <f>IF($C367="","",IFERROR(VLOOKUP($C367,'Base produits'!$B$5:$F$91,5,FALSE),""))</f>
        <v/>
      </c>
      <c r="E367" s="23" t="n"/>
      <c r="F367" s="19">
        <f>IF($C367="","",IFERROR(IF(VLOOKUP($C367,'Base produits'!$B$5:$H$91,7,FALSE)="","",VLOOKUP($C367,'Base produits'!$B$5:$H$91,7,FALSE)),""))</f>
        <v/>
      </c>
      <c r="G367" s="21">
        <f>IF(OR($C367="",$E367="",$F367=""),"",$E367*$F367)</f>
        <v/>
      </c>
      <c r="H367" s="29" t="n"/>
    </row>
    <row r="368">
      <c r="A368" s="30" t="n"/>
      <c r="B368" s="29" t="n"/>
      <c r="C368" s="23" t="n"/>
      <c r="D368" s="31">
        <f>IF($C368="","",IFERROR(VLOOKUP($C368,'Base produits'!$B$5:$F$91,5,FALSE),""))</f>
        <v/>
      </c>
      <c r="E368" s="23" t="n"/>
      <c r="F368" s="19">
        <f>IF($C368="","",IFERROR(IF(VLOOKUP($C368,'Base produits'!$B$5:$H$91,7,FALSE)="","",VLOOKUP($C368,'Base produits'!$B$5:$H$91,7,FALSE)),""))</f>
        <v/>
      </c>
      <c r="G368" s="21">
        <f>IF(OR($C368="",$E368="",$F368=""),"",$E368*$F368)</f>
        <v/>
      </c>
      <c r="H368" s="29" t="n"/>
    </row>
    <row r="369">
      <c r="A369" s="30" t="n"/>
      <c r="B369" s="29" t="n"/>
      <c r="C369" s="23" t="n"/>
      <c r="D369" s="31">
        <f>IF($C369="","",IFERROR(VLOOKUP($C369,'Base produits'!$B$5:$F$91,5,FALSE),""))</f>
        <v/>
      </c>
      <c r="E369" s="23" t="n"/>
      <c r="F369" s="19">
        <f>IF($C369="","",IFERROR(IF(VLOOKUP($C369,'Base produits'!$B$5:$H$91,7,FALSE)="","",VLOOKUP($C369,'Base produits'!$B$5:$H$91,7,FALSE)),""))</f>
        <v/>
      </c>
      <c r="G369" s="21">
        <f>IF(OR($C369="",$E369="",$F369=""),"",$E369*$F369)</f>
        <v/>
      </c>
      <c r="H369" s="29" t="n"/>
    </row>
    <row r="370">
      <c r="A370" s="30" t="n"/>
      <c r="B370" s="29" t="n"/>
      <c r="C370" s="23" t="n"/>
      <c r="D370" s="31">
        <f>IF($C370="","",IFERROR(VLOOKUP($C370,'Base produits'!$B$5:$F$91,5,FALSE),""))</f>
        <v/>
      </c>
      <c r="E370" s="23" t="n"/>
      <c r="F370" s="19">
        <f>IF($C370="","",IFERROR(IF(VLOOKUP($C370,'Base produits'!$B$5:$H$91,7,FALSE)="","",VLOOKUP($C370,'Base produits'!$B$5:$H$91,7,FALSE)),""))</f>
        <v/>
      </c>
      <c r="G370" s="21">
        <f>IF(OR($C370="",$E370="",$F370=""),"",$E370*$F370)</f>
        <v/>
      </c>
      <c r="H370" s="29" t="n"/>
    </row>
    <row r="371">
      <c r="A371" s="30" t="n"/>
      <c r="B371" s="29" t="n"/>
      <c r="C371" s="23" t="n"/>
      <c r="D371" s="31">
        <f>IF($C371="","",IFERROR(VLOOKUP($C371,'Base produits'!$B$5:$F$91,5,FALSE),""))</f>
        <v/>
      </c>
      <c r="E371" s="23" t="n"/>
      <c r="F371" s="19">
        <f>IF($C371="","",IFERROR(IF(VLOOKUP($C371,'Base produits'!$B$5:$H$91,7,FALSE)="","",VLOOKUP($C371,'Base produits'!$B$5:$H$91,7,FALSE)),""))</f>
        <v/>
      </c>
      <c r="G371" s="21">
        <f>IF(OR($C371="",$E371="",$F371=""),"",$E371*$F371)</f>
        <v/>
      </c>
      <c r="H371" s="29" t="n"/>
    </row>
    <row r="372">
      <c r="A372" s="30" t="n"/>
      <c r="B372" s="29" t="n"/>
      <c r="C372" s="23" t="n"/>
      <c r="D372" s="31">
        <f>IF($C372="","",IFERROR(VLOOKUP($C372,'Base produits'!$B$5:$F$91,5,FALSE),""))</f>
        <v/>
      </c>
      <c r="E372" s="23" t="n"/>
      <c r="F372" s="19">
        <f>IF($C372="","",IFERROR(IF(VLOOKUP($C372,'Base produits'!$B$5:$H$91,7,FALSE)="","",VLOOKUP($C372,'Base produits'!$B$5:$H$91,7,FALSE)),""))</f>
        <v/>
      </c>
      <c r="G372" s="21">
        <f>IF(OR($C372="",$E372="",$F372=""),"",$E372*$F372)</f>
        <v/>
      </c>
      <c r="H372" s="29" t="n"/>
    </row>
    <row r="373">
      <c r="A373" s="30" t="n"/>
      <c r="B373" s="29" t="n"/>
      <c r="C373" s="23" t="n"/>
      <c r="D373" s="31">
        <f>IF($C373="","",IFERROR(VLOOKUP($C373,'Base produits'!$B$5:$F$91,5,FALSE),""))</f>
        <v/>
      </c>
      <c r="E373" s="23" t="n"/>
      <c r="F373" s="19">
        <f>IF($C373="","",IFERROR(IF(VLOOKUP($C373,'Base produits'!$B$5:$H$91,7,FALSE)="","",VLOOKUP($C373,'Base produits'!$B$5:$H$91,7,FALSE)),""))</f>
        <v/>
      </c>
      <c r="G373" s="21">
        <f>IF(OR($C373="",$E373="",$F373=""),"",$E373*$F373)</f>
        <v/>
      </c>
      <c r="H373" s="29" t="n"/>
    </row>
    <row r="374">
      <c r="A374" s="30" t="n"/>
      <c r="B374" s="29" t="n"/>
      <c r="C374" s="23" t="n"/>
      <c r="D374" s="31">
        <f>IF($C374="","",IFERROR(VLOOKUP($C374,'Base produits'!$B$5:$F$91,5,FALSE),""))</f>
        <v/>
      </c>
      <c r="E374" s="23" t="n"/>
      <c r="F374" s="19">
        <f>IF($C374="","",IFERROR(IF(VLOOKUP($C374,'Base produits'!$B$5:$H$91,7,FALSE)="","",VLOOKUP($C374,'Base produits'!$B$5:$H$91,7,FALSE)),""))</f>
        <v/>
      </c>
      <c r="G374" s="21">
        <f>IF(OR($C374="",$E374="",$F374=""),"",$E374*$F374)</f>
        <v/>
      </c>
      <c r="H374" s="29" t="n"/>
    </row>
    <row r="375">
      <c r="A375" s="30" t="n"/>
      <c r="B375" s="29" t="n"/>
      <c r="C375" s="23" t="n"/>
      <c r="D375" s="31">
        <f>IF($C375="","",IFERROR(VLOOKUP($C375,'Base produits'!$B$5:$F$91,5,FALSE),""))</f>
        <v/>
      </c>
      <c r="E375" s="23" t="n"/>
      <c r="F375" s="19">
        <f>IF($C375="","",IFERROR(IF(VLOOKUP($C375,'Base produits'!$B$5:$H$91,7,FALSE)="","",VLOOKUP($C375,'Base produits'!$B$5:$H$91,7,FALSE)),""))</f>
        <v/>
      </c>
      <c r="G375" s="21">
        <f>IF(OR($C375="",$E375="",$F375=""),"",$E375*$F375)</f>
        <v/>
      </c>
      <c r="H375" s="29" t="n"/>
    </row>
    <row r="376">
      <c r="A376" s="30" t="n"/>
      <c r="B376" s="29" t="n"/>
      <c r="C376" s="23" t="n"/>
      <c r="D376" s="31">
        <f>IF($C376="","",IFERROR(VLOOKUP($C376,'Base produits'!$B$5:$F$91,5,FALSE),""))</f>
        <v/>
      </c>
      <c r="E376" s="23" t="n"/>
      <c r="F376" s="19">
        <f>IF($C376="","",IFERROR(IF(VLOOKUP($C376,'Base produits'!$B$5:$H$91,7,FALSE)="","",VLOOKUP($C376,'Base produits'!$B$5:$H$91,7,FALSE)),""))</f>
        <v/>
      </c>
      <c r="G376" s="21">
        <f>IF(OR($C376="",$E376="",$F376=""),"",$E376*$F376)</f>
        <v/>
      </c>
      <c r="H376" s="29" t="n"/>
    </row>
    <row r="377">
      <c r="A377" s="30" t="n"/>
      <c r="B377" s="29" t="n"/>
      <c r="C377" s="23" t="n"/>
      <c r="D377" s="31">
        <f>IF($C377="","",IFERROR(VLOOKUP($C377,'Base produits'!$B$5:$F$91,5,FALSE),""))</f>
        <v/>
      </c>
      <c r="E377" s="23" t="n"/>
      <c r="F377" s="19">
        <f>IF($C377="","",IFERROR(IF(VLOOKUP($C377,'Base produits'!$B$5:$H$91,7,FALSE)="","",VLOOKUP($C377,'Base produits'!$B$5:$H$91,7,FALSE)),""))</f>
        <v/>
      </c>
      <c r="G377" s="21">
        <f>IF(OR($C377="",$E377="",$F377=""),"",$E377*$F377)</f>
        <v/>
      </c>
      <c r="H377" s="29" t="n"/>
    </row>
    <row r="378">
      <c r="A378" s="30" t="n"/>
      <c r="B378" s="29" t="n"/>
      <c r="C378" s="23" t="n"/>
      <c r="D378" s="31">
        <f>IF($C378="","",IFERROR(VLOOKUP($C378,'Base produits'!$B$5:$F$91,5,FALSE),""))</f>
        <v/>
      </c>
      <c r="E378" s="23" t="n"/>
      <c r="F378" s="19">
        <f>IF($C378="","",IFERROR(IF(VLOOKUP($C378,'Base produits'!$B$5:$H$91,7,FALSE)="","",VLOOKUP($C378,'Base produits'!$B$5:$H$91,7,FALSE)),""))</f>
        <v/>
      </c>
      <c r="G378" s="21">
        <f>IF(OR($C378="",$E378="",$F378=""),"",$E378*$F378)</f>
        <v/>
      </c>
      <c r="H378" s="29" t="n"/>
    </row>
    <row r="379">
      <c r="A379" s="30" t="n"/>
      <c r="B379" s="29" t="n"/>
      <c r="C379" s="23" t="n"/>
      <c r="D379" s="31">
        <f>IF($C379="","",IFERROR(VLOOKUP($C379,'Base produits'!$B$5:$F$91,5,FALSE),""))</f>
        <v/>
      </c>
      <c r="E379" s="23" t="n"/>
      <c r="F379" s="19">
        <f>IF($C379="","",IFERROR(IF(VLOOKUP($C379,'Base produits'!$B$5:$H$91,7,FALSE)="","",VLOOKUP($C379,'Base produits'!$B$5:$H$91,7,FALSE)),""))</f>
        <v/>
      </c>
      <c r="G379" s="21">
        <f>IF(OR($C379="",$E379="",$F379=""),"",$E379*$F379)</f>
        <v/>
      </c>
      <c r="H379" s="29" t="n"/>
    </row>
    <row r="380">
      <c r="A380" s="30" t="n"/>
      <c r="B380" s="29" t="n"/>
      <c r="C380" s="23" t="n"/>
      <c r="D380" s="31">
        <f>IF($C380="","",IFERROR(VLOOKUP($C380,'Base produits'!$B$5:$F$91,5,FALSE),""))</f>
        <v/>
      </c>
      <c r="E380" s="23" t="n"/>
      <c r="F380" s="19">
        <f>IF($C380="","",IFERROR(IF(VLOOKUP($C380,'Base produits'!$B$5:$H$91,7,FALSE)="","",VLOOKUP($C380,'Base produits'!$B$5:$H$91,7,FALSE)),""))</f>
        <v/>
      </c>
      <c r="G380" s="21">
        <f>IF(OR($C380="",$E380="",$F380=""),"",$E380*$F380)</f>
        <v/>
      </c>
      <c r="H380" s="29" t="n"/>
    </row>
    <row r="381">
      <c r="A381" s="30" t="n"/>
      <c r="B381" s="29" t="n"/>
      <c r="C381" s="23" t="n"/>
      <c r="D381" s="31">
        <f>IF($C381="","",IFERROR(VLOOKUP($C381,'Base produits'!$B$5:$F$91,5,FALSE),""))</f>
        <v/>
      </c>
      <c r="E381" s="23" t="n"/>
      <c r="F381" s="19">
        <f>IF($C381="","",IFERROR(IF(VLOOKUP($C381,'Base produits'!$B$5:$H$91,7,FALSE)="","",VLOOKUP($C381,'Base produits'!$B$5:$H$91,7,FALSE)),""))</f>
        <v/>
      </c>
      <c r="G381" s="21">
        <f>IF(OR($C381="",$E381="",$F381=""),"",$E381*$F381)</f>
        <v/>
      </c>
      <c r="H381" s="29" t="n"/>
    </row>
    <row r="382">
      <c r="A382" s="30" t="n"/>
      <c r="B382" s="29" t="n"/>
      <c r="C382" s="23" t="n"/>
      <c r="D382" s="31">
        <f>IF($C382="","",IFERROR(VLOOKUP($C382,'Base produits'!$B$5:$F$91,5,FALSE),""))</f>
        <v/>
      </c>
      <c r="E382" s="23" t="n"/>
      <c r="F382" s="19">
        <f>IF($C382="","",IFERROR(IF(VLOOKUP($C382,'Base produits'!$B$5:$H$91,7,FALSE)="","",VLOOKUP($C382,'Base produits'!$B$5:$H$91,7,FALSE)),""))</f>
        <v/>
      </c>
      <c r="G382" s="21">
        <f>IF(OR($C382="",$E382="",$F382=""),"",$E382*$F382)</f>
        <v/>
      </c>
      <c r="H382" s="29" t="n"/>
    </row>
    <row r="383">
      <c r="A383" s="30" t="n"/>
      <c r="B383" s="29" t="n"/>
      <c r="C383" s="23" t="n"/>
      <c r="D383" s="31">
        <f>IF($C383="","",IFERROR(VLOOKUP($C383,'Base produits'!$B$5:$F$91,5,FALSE),""))</f>
        <v/>
      </c>
      <c r="E383" s="23" t="n"/>
      <c r="F383" s="19">
        <f>IF($C383="","",IFERROR(IF(VLOOKUP($C383,'Base produits'!$B$5:$H$91,7,FALSE)="","",VLOOKUP($C383,'Base produits'!$B$5:$H$91,7,FALSE)),""))</f>
        <v/>
      </c>
      <c r="G383" s="21">
        <f>IF(OR($C383="",$E383="",$F383=""),"",$E383*$F383)</f>
        <v/>
      </c>
      <c r="H383" s="29" t="n"/>
    </row>
    <row r="384">
      <c r="A384" s="30" t="n"/>
      <c r="B384" s="29" t="n"/>
      <c r="C384" s="23" t="n"/>
      <c r="D384" s="31">
        <f>IF($C384="","",IFERROR(VLOOKUP($C384,'Base produits'!$B$5:$F$91,5,FALSE),""))</f>
        <v/>
      </c>
      <c r="E384" s="23" t="n"/>
      <c r="F384" s="19">
        <f>IF($C384="","",IFERROR(IF(VLOOKUP($C384,'Base produits'!$B$5:$H$91,7,FALSE)="","",VLOOKUP($C384,'Base produits'!$B$5:$H$91,7,FALSE)),""))</f>
        <v/>
      </c>
      <c r="G384" s="21">
        <f>IF(OR($C384="",$E384="",$F384=""),"",$E384*$F384)</f>
        <v/>
      </c>
      <c r="H384" s="29" t="n"/>
    </row>
    <row r="385">
      <c r="A385" s="30" t="n"/>
      <c r="B385" s="29" t="n"/>
      <c r="C385" s="23" t="n"/>
      <c r="D385" s="31">
        <f>IF($C385="","",IFERROR(VLOOKUP($C385,'Base produits'!$B$5:$F$91,5,FALSE),""))</f>
        <v/>
      </c>
      <c r="E385" s="23" t="n"/>
      <c r="F385" s="19">
        <f>IF($C385="","",IFERROR(IF(VLOOKUP($C385,'Base produits'!$B$5:$H$91,7,FALSE)="","",VLOOKUP($C385,'Base produits'!$B$5:$H$91,7,FALSE)),""))</f>
        <v/>
      </c>
      <c r="G385" s="21">
        <f>IF(OR($C385="",$E385="",$F385=""),"",$E385*$F385)</f>
        <v/>
      </c>
      <c r="H385" s="29" t="n"/>
    </row>
    <row r="386">
      <c r="A386" s="30" t="n"/>
      <c r="B386" s="29" t="n"/>
      <c r="C386" s="23" t="n"/>
      <c r="D386" s="31">
        <f>IF($C386="","",IFERROR(VLOOKUP($C386,'Base produits'!$B$5:$F$91,5,FALSE),""))</f>
        <v/>
      </c>
      <c r="E386" s="23" t="n"/>
      <c r="F386" s="19">
        <f>IF($C386="","",IFERROR(IF(VLOOKUP($C386,'Base produits'!$B$5:$H$91,7,FALSE)="","",VLOOKUP($C386,'Base produits'!$B$5:$H$91,7,FALSE)),""))</f>
        <v/>
      </c>
      <c r="G386" s="21">
        <f>IF(OR($C386="",$E386="",$F386=""),"",$E386*$F386)</f>
        <v/>
      </c>
      <c r="H386" s="29" t="n"/>
    </row>
    <row r="387">
      <c r="A387" s="30" t="n"/>
      <c r="B387" s="29" t="n"/>
      <c r="C387" s="23" t="n"/>
      <c r="D387" s="31">
        <f>IF($C387="","",IFERROR(VLOOKUP($C387,'Base produits'!$B$5:$F$91,5,FALSE),""))</f>
        <v/>
      </c>
      <c r="E387" s="23" t="n"/>
      <c r="F387" s="19">
        <f>IF($C387="","",IFERROR(IF(VLOOKUP($C387,'Base produits'!$B$5:$H$91,7,FALSE)="","",VLOOKUP($C387,'Base produits'!$B$5:$H$91,7,FALSE)),""))</f>
        <v/>
      </c>
      <c r="G387" s="21">
        <f>IF(OR($C387="",$E387="",$F387=""),"",$E387*$F387)</f>
        <v/>
      </c>
      <c r="H387" s="29" t="n"/>
    </row>
    <row r="388">
      <c r="A388" s="30" t="n"/>
      <c r="B388" s="29" t="n"/>
      <c r="C388" s="23" t="n"/>
      <c r="D388" s="31">
        <f>IF($C388="","",IFERROR(VLOOKUP($C388,'Base produits'!$B$5:$F$91,5,FALSE),""))</f>
        <v/>
      </c>
      <c r="E388" s="23" t="n"/>
      <c r="F388" s="19">
        <f>IF($C388="","",IFERROR(IF(VLOOKUP($C388,'Base produits'!$B$5:$H$91,7,FALSE)="","",VLOOKUP($C388,'Base produits'!$B$5:$H$91,7,FALSE)),""))</f>
        <v/>
      </c>
      <c r="G388" s="21">
        <f>IF(OR($C388="",$E388="",$F388=""),"",$E388*$F388)</f>
        <v/>
      </c>
      <c r="H388" s="29" t="n"/>
    </row>
    <row r="389">
      <c r="A389" s="30" t="n"/>
      <c r="B389" s="29" t="n"/>
      <c r="C389" s="23" t="n"/>
      <c r="D389" s="31">
        <f>IF($C389="","",IFERROR(VLOOKUP($C389,'Base produits'!$B$5:$F$91,5,FALSE),""))</f>
        <v/>
      </c>
      <c r="E389" s="23" t="n"/>
      <c r="F389" s="19">
        <f>IF($C389="","",IFERROR(IF(VLOOKUP($C389,'Base produits'!$B$5:$H$91,7,FALSE)="","",VLOOKUP($C389,'Base produits'!$B$5:$H$91,7,FALSE)),""))</f>
        <v/>
      </c>
      <c r="G389" s="21">
        <f>IF(OR($C389="",$E389="",$F389=""),"",$E389*$F389)</f>
        <v/>
      </c>
      <c r="H389" s="29" t="n"/>
    </row>
    <row r="390">
      <c r="A390" s="30" t="n"/>
      <c r="B390" s="29" t="n"/>
      <c r="C390" s="23" t="n"/>
      <c r="D390" s="31">
        <f>IF($C390="","",IFERROR(VLOOKUP($C390,'Base produits'!$B$5:$F$91,5,FALSE),""))</f>
        <v/>
      </c>
      <c r="E390" s="23" t="n"/>
      <c r="F390" s="19">
        <f>IF($C390="","",IFERROR(IF(VLOOKUP($C390,'Base produits'!$B$5:$H$91,7,FALSE)="","",VLOOKUP($C390,'Base produits'!$B$5:$H$91,7,FALSE)),""))</f>
        <v/>
      </c>
      <c r="G390" s="21">
        <f>IF(OR($C390="",$E390="",$F390=""),"",$E390*$F390)</f>
        <v/>
      </c>
      <c r="H390" s="29" t="n"/>
    </row>
    <row r="391">
      <c r="A391" s="30" t="n"/>
      <c r="B391" s="29" t="n"/>
      <c r="C391" s="23" t="n"/>
      <c r="D391" s="31">
        <f>IF($C391="","",IFERROR(VLOOKUP($C391,'Base produits'!$B$5:$F$91,5,FALSE),""))</f>
        <v/>
      </c>
      <c r="E391" s="23" t="n"/>
      <c r="F391" s="19">
        <f>IF($C391="","",IFERROR(IF(VLOOKUP($C391,'Base produits'!$B$5:$H$91,7,FALSE)="","",VLOOKUP($C391,'Base produits'!$B$5:$H$91,7,FALSE)),""))</f>
        <v/>
      </c>
      <c r="G391" s="21">
        <f>IF(OR($C391="",$E391="",$F391=""),"",$E391*$F391)</f>
        <v/>
      </c>
      <c r="H391" s="29" t="n"/>
    </row>
    <row r="392">
      <c r="A392" s="30" t="n"/>
      <c r="B392" s="29" t="n"/>
      <c r="C392" s="23" t="n"/>
      <c r="D392" s="31">
        <f>IF($C392="","",IFERROR(VLOOKUP($C392,'Base produits'!$B$5:$F$91,5,FALSE),""))</f>
        <v/>
      </c>
      <c r="E392" s="23" t="n"/>
      <c r="F392" s="19">
        <f>IF($C392="","",IFERROR(IF(VLOOKUP($C392,'Base produits'!$B$5:$H$91,7,FALSE)="","",VLOOKUP($C392,'Base produits'!$B$5:$H$91,7,FALSE)),""))</f>
        <v/>
      </c>
      <c r="G392" s="21">
        <f>IF(OR($C392="",$E392="",$F392=""),"",$E392*$F392)</f>
        <v/>
      </c>
      <c r="H392" s="29" t="n"/>
    </row>
    <row r="393">
      <c r="A393" s="30" t="n"/>
      <c r="B393" s="29" t="n"/>
      <c r="C393" s="23" t="n"/>
      <c r="D393" s="31">
        <f>IF($C393="","",IFERROR(VLOOKUP($C393,'Base produits'!$B$5:$F$91,5,FALSE),""))</f>
        <v/>
      </c>
      <c r="E393" s="23" t="n"/>
      <c r="F393" s="19">
        <f>IF($C393="","",IFERROR(IF(VLOOKUP($C393,'Base produits'!$B$5:$H$91,7,FALSE)="","",VLOOKUP($C393,'Base produits'!$B$5:$H$91,7,FALSE)),""))</f>
        <v/>
      </c>
      <c r="G393" s="21">
        <f>IF(OR($C393="",$E393="",$F393=""),"",$E393*$F393)</f>
        <v/>
      </c>
      <c r="H393" s="29" t="n"/>
    </row>
    <row r="394">
      <c r="A394" s="30" t="n"/>
      <c r="B394" s="29" t="n"/>
      <c r="C394" s="23" t="n"/>
      <c r="D394" s="31">
        <f>IF($C394="","",IFERROR(VLOOKUP($C394,'Base produits'!$B$5:$F$91,5,FALSE),""))</f>
        <v/>
      </c>
      <c r="E394" s="23" t="n"/>
      <c r="F394" s="19">
        <f>IF($C394="","",IFERROR(IF(VLOOKUP($C394,'Base produits'!$B$5:$H$91,7,FALSE)="","",VLOOKUP($C394,'Base produits'!$B$5:$H$91,7,FALSE)),""))</f>
        <v/>
      </c>
      <c r="G394" s="21">
        <f>IF(OR($C394="",$E394="",$F394=""),"",$E394*$F394)</f>
        <v/>
      </c>
      <c r="H394" s="29" t="n"/>
    </row>
    <row r="395">
      <c r="A395" s="30" t="n"/>
      <c r="B395" s="29" t="n"/>
      <c r="C395" s="23" t="n"/>
      <c r="D395" s="31">
        <f>IF($C395="","",IFERROR(VLOOKUP($C395,'Base produits'!$B$5:$F$91,5,FALSE),""))</f>
        <v/>
      </c>
      <c r="E395" s="23" t="n"/>
      <c r="F395" s="19">
        <f>IF($C395="","",IFERROR(IF(VLOOKUP($C395,'Base produits'!$B$5:$H$91,7,FALSE)="","",VLOOKUP($C395,'Base produits'!$B$5:$H$91,7,FALSE)),""))</f>
        <v/>
      </c>
      <c r="G395" s="21">
        <f>IF(OR($C395="",$E395="",$F395=""),"",$E395*$F395)</f>
        <v/>
      </c>
      <c r="H395" s="29" t="n"/>
    </row>
    <row r="396">
      <c r="A396" s="30" t="n"/>
      <c r="B396" s="29" t="n"/>
      <c r="C396" s="23" t="n"/>
      <c r="D396" s="31">
        <f>IF($C396="","",IFERROR(VLOOKUP($C396,'Base produits'!$B$5:$F$91,5,FALSE),""))</f>
        <v/>
      </c>
      <c r="E396" s="23" t="n"/>
      <c r="F396" s="19">
        <f>IF($C396="","",IFERROR(IF(VLOOKUP($C396,'Base produits'!$B$5:$H$91,7,FALSE)="","",VLOOKUP($C396,'Base produits'!$B$5:$H$91,7,FALSE)),""))</f>
        <v/>
      </c>
      <c r="G396" s="21">
        <f>IF(OR($C396="",$E396="",$F396=""),"",$E396*$F396)</f>
        <v/>
      </c>
      <c r="H396" s="29" t="n"/>
    </row>
    <row r="397">
      <c r="A397" s="30" t="n"/>
      <c r="B397" s="29" t="n"/>
      <c r="C397" s="23" t="n"/>
      <c r="D397" s="31">
        <f>IF($C397="","",IFERROR(VLOOKUP($C397,'Base produits'!$B$5:$F$91,5,FALSE),""))</f>
        <v/>
      </c>
      <c r="E397" s="23" t="n"/>
      <c r="F397" s="19">
        <f>IF($C397="","",IFERROR(IF(VLOOKUP($C397,'Base produits'!$B$5:$H$91,7,FALSE)="","",VLOOKUP($C397,'Base produits'!$B$5:$H$91,7,FALSE)),""))</f>
        <v/>
      </c>
      <c r="G397" s="21">
        <f>IF(OR($C397="",$E397="",$F397=""),"",$E397*$F397)</f>
        <v/>
      </c>
      <c r="H397" s="29" t="n"/>
    </row>
    <row r="398">
      <c r="A398" s="30" t="n"/>
      <c r="B398" s="29" t="n"/>
      <c r="C398" s="23" t="n"/>
      <c r="D398" s="31">
        <f>IF($C398="","",IFERROR(VLOOKUP($C398,'Base produits'!$B$5:$F$91,5,FALSE),""))</f>
        <v/>
      </c>
      <c r="E398" s="23" t="n"/>
      <c r="F398" s="19">
        <f>IF($C398="","",IFERROR(IF(VLOOKUP($C398,'Base produits'!$B$5:$H$91,7,FALSE)="","",VLOOKUP($C398,'Base produits'!$B$5:$H$91,7,FALSE)),""))</f>
        <v/>
      </c>
      <c r="G398" s="21">
        <f>IF(OR($C398="",$E398="",$F398=""),"",$E398*$F398)</f>
        <v/>
      </c>
      <c r="H398" s="29" t="n"/>
    </row>
    <row r="399">
      <c r="A399" s="30" t="n"/>
      <c r="B399" s="29" t="n"/>
      <c r="C399" s="23" t="n"/>
      <c r="D399" s="31">
        <f>IF($C399="","",IFERROR(VLOOKUP($C399,'Base produits'!$B$5:$F$91,5,FALSE),""))</f>
        <v/>
      </c>
      <c r="E399" s="23" t="n"/>
      <c r="F399" s="19">
        <f>IF($C399="","",IFERROR(IF(VLOOKUP($C399,'Base produits'!$B$5:$H$91,7,FALSE)="","",VLOOKUP($C399,'Base produits'!$B$5:$H$91,7,FALSE)),""))</f>
        <v/>
      </c>
      <c r="G399" s="21">
        <f>IF(OR($C399="",$E399="",$F399=""),"",$E399*$F399)</f>
        <v/>
      </c>
      <c r="H399" s="29" t="n"/>
    </row>
    <row r="400">
      <c r="A400" s="30" t="n"/>
      <c r="B400" s="29" t="n"/>
      <c r="C400" s="23" t="n"/>
      <c r="D400" s="31">
        <f>IF($C400="","",IFERROR(VLOOKUP($C400,'Base produits'!$B$5:$F$91,5,FALSE),""))</f>
        <v/>
      </c>
      <c r="E400" s="23" t="n"/>
      <c r="F400" s="19">
        <f>IF($C400="","",IFERROR(IF(VLOOKUP($C400,'Base produits'!$B$5:$H$91,7,FALSE)="","",VLOOKUP($C400,'Base produits'!$B$5:$H$91,7,FALSE)),""))</f>
        <v/>
      </c>
      <c r="G400" s="21">
        <f>IF(OR($C400="",$E400="",$F400=""),"",$E400*$F400)</f>
        <v/>
      </c>
      <c r="H400" s="29" t="n"/>
    </row>
    <row r="401">
      <c r="A401" s="30" t="n"/>
      <c r="B401" s="29" t="n"/>
      <c r="C401" s="23" t="n"/>
      <c r="D401" s="31">
        <f>IF($C401="","",IFERROR(VLOOKUP($C401,'Base produits'!$B$5:$F$91,5,FALSE),""))</f>
        <v/>
      </c>
      <c r="E401" s="23" t="n"/>
      <c r="F401" s="19">
        <f>IF($C401="","",IFERROR(IF(VLOOKUP($C401,'Base produits'!$B$5:$H$91,7,FALSE)="","",VLOOKUP($C401,'Base produits'!$B$5:$H$91,7,FALSE)),""))</f>
        <v/>
      </c>
      <c r="G401" s="21">
        <f>IF(OR($C401="",$E401="",$F401=""),"",$E401*$F401)</f>
        <v/>
      </c>
      <c r="H401" s="29" t="n"/>
    </row>
    <row r="402">
      <c r="A402" s="30" t="n"/>
      <c r="B402" s="29" t="n"/>
      <c r="C402" s="23" t="n"/>
      <c r="D402" s="31">
        <f>IF($C402="","",IFERROR(VLOOKUP($C402,'Base produits'!$B$5:$F$91,5,FALSE),""))</f>
        <v/>
      </c>
      <c r="E402" s="23" t="n"/>
      <c r="F402" s="19">
        <f>IF($C402="","",IFERROR(IF(VLOOKUP($C402,'Base produits'!$B$5:$H$91,7,FALSE)="","",VLOOKUP($C402,'Base produits'!$B$5:$H$91,7,FALSE)),""))</f>
        <v/>
      </c>
      <c r="G402" s="21">
        <f>IF(OR($C402="",$E402="",$F402=""),"",$E402*$F402)</f>
        <v/>
      </c>
      <c r="H402" s="29" t="n"/>
    </row>
    <row r="403">
      <c r="A403" s="30" t="n"/>
      <c r="B403" s="29" t="n"/>
      <c r="C403" s="23" t="n"/>
      <c r="D403" s="31">
        <f>IF($C403="","",IFERROR(VLOOKUP($C403,'Base produits'!$B$5:$F$91,5,FALSE),""))</f>
        <v/>
      </c>
      <c r="E403" s="23" t="n"/>
      <c r="F403" s="19">
        <f>IF($C403="","",IFERROR(IF(VLOOKUP($C403,'Base produits'!$B$5:$H$91,7,FALSE)="","",VLOOKUP($C403,'Base produits'!$B$5:$H$91,7,FALSE)),""))</f>
        <v/>
      </c>
      <c r="G403" s="21">
        <f>IF(OR($C403="",$E403="",$F403=""),"",$E403*$F403)</f>
        <v/>
      </c>
      <c r="H403" s="29" t="n"/>
    </row>
    <row r="404">
      <c r="A404" s="30" t="n"/>
      <c r="B404" s="29" t="n"/>
      <c r="C404" s="23" t="n"/>
      <c r="D404" s="31">
        <f>IF($C404="","",IFERROR(VLOOKUP($C404,'Base produits'!$B$5:$F$91,5,FALSE),""))</f>
        <v/>
      </c>
      <c r="E404" s="23" t="n"/>
      <c r="F404" s="19">
        <f>IF($C404="","",IFERROR(IF(VLOOKUP($C404,'Base produits'!$B$5:$H$91,7,FALSE)="","",VLOOKUP($C404,'Base produits'!$B$5:$H$91,7,FALSE)),""))</f>
        <v/>
      </c>
      <c r="G404" s="21">
        <f>IF(OR($C404="",$E404="",$F404=""),"",$E404*$F404)</f>
        <v/>
      </c>
      <c r="H404" s="29" t="n"/>
    </row>
    <row r="405">
      <c r="A405" s="30" t="n"/>
      <c r="B405" s="29" t="n"/>
      <c r="C405" s="23" t="n"/>
      <c r="D405" s="31">
        <f>IF($C405="","",IFERROR(VLOOKUP($C405,'Base produits'!$B$5:$F$91,5,FALSE),""))</f>
        <v/>
      </c>
      <c r="E405" s="23" t="n"/>
      <c r="F405" s="19">
        <f>IF($C405="","",IFERROR(IF(VLOOKUP($C405,'Base produits'!$B$5:$H$91,7,FALSE)="","",VLOOKUP($C405,'Base produits'!$B$5:$H$91,7,FALSE)),""))</f>
        <v/>
      </c>
      <c r="G405" s="21">
        <f>IF(OR($C405="",$E405="",$F405=""),"",$E405*$F405)</f>
        <v/>
      </c>
      <c r="H405" s="29" t="n"/>
    </row>
    <row r="406">
      <c r="A406" s="30" t="n"/>
      <c r="B406" s="29" t="n"/>
      <c r="C406" s="23" t="n"/>
      <c r="D406" s="31">
        <f>IF($C406="","",IFERROR(VLOOKUP($C406,'Base produits'!$B$5:$F$91,5,FALSE),""))</f>
        <v/>
      </c>
      <c r="E406" s="23" t="n"/>
      <c r="F406" s="19">
        <f>IF($C406="","",IFERROR(IF(VLOOKUP($C406,'Base produits'!$B$5:$H$91,7,FALSE)="","",VLOOKUP($C406,'Base produits'!$B$5:$H$91,7,FALSE)),""))</f>
        <v/>
      </c>
      <c r="G406" s="21">
        <f>IF(OR($C406="",$E406="",$F406=""),"",$E406*$F406)</f>
        <v/>
      </c>
      <c r="H406" s="29" t="n"/>
    </row>
    <row r="407">
      <c r="A407" s="30" t="n"/>
      <c r="B407" s="29" t="n"/>
      <c r="C407" s="23" t="n"/>
      <c r="D407" s="31">
        <f>IF($C407="","",IFERROR(VLOOKUP($C407,'Base produits'!$B$5:$F$91,5,FALSE),""))</f>
        <v/>
      </c>
      <c r="E407" s="23" t="n"/>
      <c r="F407" s="19">
        <f>IF($C407="","",IFERROR(IF(VLOOKUP($C407,'Base produits'!$B$5:$H$91,7,FALSE)="","",VLOOKUP($C407,'Base produits'!$B$5:$H$91,7,FALSE)),""))</f>
        <v/>
      </c>
      <c r="G407" s="21">
        <f>IF(OR($C407="",$E407="",$F407=""),"",$E407*$F407)</f>
        <v/>
      </c>
      <c r="H407" s="29" t="n"/>
    </row>
    <row r="408">
      <c r="A408" s="30" t="n"/>
      <c r="B408" s="29" t="n"/>
      <c r="C408" s="23" t="n"/>
      <c r="D408" s="31">
        <f>IF($C408="","",IFERROR(VLOOKUP($C408,'Base produits'!$B$5:$F$91,5,FALSE),""))</f>
        <v/>
      </c>
      <c r="E408" s="23" t="n"/>
      <c r="F408" s="19">
        <f>IF($C408="","",IFERROR(IF(VLOOKUP($C408,'Base produits'!$B$5:$H$91,7,FALSE)="","",VLOOKUP($C408,'Base produits'!$B$5:$H$91,7,FALSE)),""))</f>
        <v/>
      </c>
      <c r="G408" s="21">
        <f>IF(OR($C408="",$E408="",$F408=""),"",$E408*$F408)</f>
        <v/>
      </c>
      <c r="H408" s="29" t="n"/>
    </row>
    <row r="409">
      <c r="A409" s="30" t="n"/>
      <c r="B409" s="29" t="n"/>
      <c r="C409" s="23" t="n"/>
      <c r="D409" s="31">
        <f>IF($C409="","",IFERROR(VLOOKUP($C409,'Base produits'!$B$5:$F$91,5,FALSE),""))</f>
        <v/>
      </c>
      <c r="E409" s="23" t="n"/>
      <c r="F409" s="19">
        <f>IF($C409="","",IFERROR(IF(VLOOKUP($C409,'Base produits'!$B$5:$H$91,7,FALSE)="","",VLOOKUP($C409,'Base produits'!$B$5:$H$91,7,FALSE)),""))</f>
        <v/>
      </c>
      <c r="G409" s="21">
        <f>IF(OR($C409="",$E409="",$F409=""),"",$E409*$F409)</f>
        <v/>
      </c>
      <c r="H409" s="29" t="n"/>
    </row>
    <row r="410">
      <c r="A410" s="30" t="n"/>
      <c r="B410" s="29" t="n"/>
      <c r="C410" s="23" t="n"/>
      <c r="D410" s="31">
        <f>IF($C410="","",IFERROR(VLOOKUP($C410,'Base produits'!$B$5:$F$91,5,FALSE),""))</f>
        <v/>
      </c>
      <c r="E410" s="23" t="n"/>
      <c r="F410" s="19">
        <f>IF($C410="","",IFERROR(IF(VLOOKUP($C410,'Base produits'!$B$5:$H$91,7,FALSE)="","",VLOOKUP($C410,'Base produits'!$B$5:$H$91,7,FALSE)),""))</f>
        <v/>
      </c>
      <c r="G410" s="21">
        <f>IF(OR($C410="",$E410="",$F410=""),"",$E410*$F410)</f>
        <v/>
      </c>
      <c r="H410" s="29" t="n"/>
    </row>
    <row r="411">
      <c r="A411" s="30" t="n"/>
      <c r="B411" s="29" t="n"/>
      <c r="C411" s="23" t="n"/>
      <c r="D411" s="31">
        <f>IF($C411="","",IFERROR(VLOOKUP($C411,'Base produits'!$B$5:$F$91,5,FALSE),""))</f>
        <v/>
      </c>
      <c r="E411" s="23" t="n"/>
      <c r="F411" s="19">
        <f>IF($C411="","",IFERROR(IF(VLOOKUP($C411,'Base produits'!$B$5:$H$91,7,FALSE)="","",VLOOKUP($C411,'Base produits'!$B$5:$H$91,7,FALSE)),""))</f>
        <v/>
      </c>
      <c r="G411" s="21">
        <f>IF(OR($C411="",$E411="",$F411=""),"",$E411*$F411)</f>
        <v/>
      </c>
      <c r="H411" s="29" t="n"/>
    </row>
    <row r="412">
      <c r="A412" s="30" t="n"/>
      <c r="B412" s="29" t="n"/>
      <c r="C412" s="23" t="n"/>
      <c r="D412" s="31">
        <f>IF($C412="","",IFERROR(VLOOKUP($C412,'Base produits'!$B$5:$F$91,5,FALSE),""))</f>
        <v/>
      </c>
      <c r="E412" s="23" t="n"/>
      <c r="F412" s="19">
        <f>IF($C412="","",IFERROR(IF(VLOOKUP($C412,'Base produits'!$B$5:$H$91,7,FALSE)="","",VLOOKUP($C412,'Base produits'!$B$5:$H$91,7,FALSE)),""))</f>
        <v/>
      </c>
      <c r="G412" s="21">
        <f>IF(OR($C412="",$E412="",$F412=""),"",$E412*$F412)</f>
        <v/>
      </c>
      <c r="H412" s="29" t="n"/>
    </row>
    <row r="413">
      <c r="A413" s="30" t="n"/>
      <c r="B413" s="29" t="n"/>
      <c r="C413" s="23" t="n"/>
      <c r="D413" s="31">
        <f>IF($C413="","",IFERROR(VLOOKUP($C413,'Base produits'!$B$5:$F$91,5,FALSE),""))</f>
        <v/>
      </c>
      <c r="E413" s="23" t="n"/>
      <c r="F413" s="19">
        <f>IF($C413="","",IFERROR(IF(VLOOKUP($C413,'Base produits'!$B$5:$H$91,7,FALSE)="","",VLOOKUP($C413,'Base produits'!$B$5:$H$91,7,FALSE)),""))</f>
        <v/>
      </c>
      <c r="G413" s="21">
        <f>IF(OR($C413="",$E413="",$F413=""),"",$E413*$F413)</f>
        <v/>
      </c>
      <c r="H413" s="29" t="n"/>
    </row>
    <row r="414">
      <c r="A414" s="30" t="n"/>
      <c r="B414" s="29" t="n"/>
      <c r="C414" s="23" t="n"/>
      <c r="D414" s="31">
        <f>IF($C414="","",IFERROR(VLOOKUP($C414,'Base produits'!$B$5:$F$91,5,FALSE),""))</f>
        <v/>
      </c>
      <c r="E414" s="23" t="n"/>
      <c r="F414" s="19">
        <f>IF($C414="","",IFERROR(IF(VLOOKUP($C414,'Base produits'!$B$5:$H$91,7,FALSE)="","",VLOOKUP($C414,'Base produits'!$B$5:$H$91,7,FALSE)),""))</f>
        <v/>
      </c>
      <c r="G414" s="21">
        <f>IF(OR($C414="",$E414="",$F414=""),"",$E414*$F414)</f>
        <v/>
      </c>
      <c r="H414" s="29" t="n"/>
    </row>
    <row r="415">
      <c r="A415" s="30" t="n"/>
      <c r="B415" s="29" t="n"/>
      <c r="C415" s="23" t="n"/>
      <c r="D415" s="31">
        <f>IF($C415="","",IFERROR(VLOOKUP($C415,'Base produits'!$B$5:$F$91,5,FALSE),""))</f>
        <v/>
      </c>
      <c r="E415" s="23" t="n"/>
      <c r="F415" s="19">
        <f>IF($C415="","",IFERROR(IF(VLOOKUP($C415,'Base produits'!$B$5:$H$91,7,FALSE)="","",VLOOKUP($C415,'Base produits'!$B$5:$H$91,7,FALSE)),""))</f>
        <v/>
      </c>
      <c r="G415" s="21">
        <f>IF(OR($C415="",$E415="",$F415=""),"",$E415*$F415)</f>
        <v/>
      </c>
      <c r="H415" s="29" t="n"/>
    </row>
    <row r="416">
      <c r="A416" s="30" t="n"/>
      <c r="B416" s="29" t="n"/>
      <c r="C416" s="23" t="n"/>
      <c r="D416" s="31">
        <f>IF($C416="","",IFERROR(VLOOKUP($C416,'Base produits'!$B$5:$F$91,5,FALSE),""))</f>
        <v/>
      </c>
      <c r="E416" s="23" t="n"/>
      <c r="F416" s="19">
        <f>IF($C416="","",IFERROR(IF(VLOOKUP($C416,'Base produits'!$B$5:$H$91,7,FALSE)="","",VLOOKUP($C416,'Base produits'!$B$5:$H$91,7,FALSE)),""))</f>
        <v/>
      </c>
      <c r="G416" s="21">
        <f>IF(OR($C416="",$E416="",$F416=""),"",$E416*$F416)</f>
        <v/>
      </c>
      <c r="H416" s="29" t="n"/>
    </row>
    <row r="417">
      <c r="A417" s="30" t="n"/>
      <c r="B417" s="29" t="n"/>
      <c r="C417" s="23" t="n"/>
      <c r="D417" s="31">
        <f>IF($C417="","",IFERROR(VLOOKUP($C417,'Base produits'!$B$5:$F$91,5,FALSE),""))</f>
        <v/>
      </c>
      <c r="E417" s="23" t="n"/>
      <c r="F417" s="19">
        <f>IF($C417="","",IFERROR(IF(VLOOKUP($C417,'Base produits'!$B$5:$H$91,7,FALSE)="","",VLOOKUP($C417,'Base produits'!$B$5:$H$91,7,FALSE)),""))</f>
        <v/>
      </c>
      <c r="G417" s="21">
        <f>IF(OR($C417="",$E417="",$F417=""),"",$E417*$F417)</f>
        <v/>
      </c>
      <c r="H417" s="29" t="n"/>
    </row>
    <row r="418">
      <c r="A418" s="30" t="n"/>
      <c r="B418" s="29" t="n"/>
      <c r="C418" s="23" t="n"/>
      <c r="D418" s="31">
        <f>IF($C418="","",IFERROR(VLOOKUP($C418,'Base produits'!$B$5:$F$91,5,FALSE),""))</f>
        <v/>
      </c>
      <c r="E418" s="23" t="n"/>
      <c r="F418" s="19">
        <f>IF($C418="","",IFERROR(IF(VLOOKUP($C418,'Base produits'!$B$5:$H$91,7,FALSE)="","",VLOOKUP($C418,'Base produits'!$B$5:$H$91,7,FALSE)),""))</f>
        <v/>
      </c>
      <c r="G418" s="21">
        <f>IF(OR($C418="",$E418="",$F418=""),"",$E418*$F418)</f>
        <v/>
      </c>
      <c r="H418" s="29" t="n"/>
    </row>
    <row r="419">
      <c r="A419" s="30" t="n"/>
      <c r="B419" s="29" t="n"/>
      <c r="C419" s="23" t="n"/>
      <c r="D419" s="31">
        <f>IF($C419="","",IFERROR(VLOOKUP($C419,'Base produits'!$B$5:$F$91,5,FALSE),""))</f>
        <v/>
      </c>
      <c r="E419" s="23" t="n"/>
      <c r="F419" s="19">
        <f>IF($C419="","",IFERROR(IF(VLOOKUP($C419,'Base produits'!$B$5:$H$91,7,FALSE)="","",VLOOKUP($C419,'Base produits'!$B$5:$H$91,7,FALSE)),""))</f>
        <v/>
      </c>
      <c r="G419" s="21">
        <f>IF(OR($C419="",$E419="",$F419=""),"",$E419*$F419)</f>
        <v/>
      </c>
      <c r="H419" s="29" t="n"/>
    </row>
    <row r="420">
      <c r="A420" s="30" t="n"/>
      <c r="B420" s="29" t="n"/>
      <c r="C420" s="23" t="n"/>
      <c r="D420" s="31">
        <f>IF($C420="","",IFERROR(VLOOKUP($C420,'Base produits'!$B$5:$F$91,5,FALSE),""))</f>
        <v/>
      </c>
      <c r="E420" s="23" t="n"/>
      <c r="F420" s="19">
        <f>IF($C420="","",IFERROR(IF(VLOOKUP($C420,'Base produits'!$B$5:$H$91,7,FALSE)="","",VLOOKUP($C420,'Base produits'!$B$5:$H$91,7,FALSE)),""))</f>
        <v/>
      </c>
      <c r="G420" s="21">
        <f>IF(OR($C420="",$E420="",$F420=""),"",$E420*$F420)</f>
        <v/>
      </c>
      <c r="H420" s="29" t="n"/>
    </row>
    <row r="421">
      <c r="A421" s="30" t="n"/>
      <c r="B421" s="29" t="n"/>
      <c r="C421" s="23" t="n"/>
      <c r="D421" s="31">
        <f>IF($C421="","",IFERROR(VLOOKUP($C421,'Base produits'!$B$5:$F$91,5,FALSE),""))</f>
        <v/>
      </c>
      <c r="E421" s="23" t="n"/>
      <c r="F421" s="19">
        <f>IF($C421="","",IFERROR(IF(VLOOKUP($C421,'Base produits'!$B$5:$H$91,7,FALSE)="","",VLOOKUP($C421,'Base produits'!$B$5:$H$91,7,FALSE)),""))</f>
        <v/>
      </c>
      <c r="G421" s="21">
        <f>IF(OR($C421="",$E421="",$F421=""),"",$E421*$F421)</f>
        <v/>
      </c>
      <c r="H421" s="29" t="n"/>
    </row>
    <row r="422">
      <c r="A422" s="30" t="n"/>
      <c r="B422" s="29" t="n"/>
      <c r="C422" s="23" t="n"/>
      <c r="D422" s="31">
        <f>IF($C422="","",IFERROR(VLOOKUP($C422,'Base produits'!$B$5:$F$91,5,FALSE),""))</f>
        <v/>
      </c>
      <c r="E422" s="23" t="n"/>
      <c r="F422" s="19">
        <f>IF($C422="","",IFERROR(IF(VLOOKUP($C422,'Base produits'!$B$5:$H$91,7,FALSE)="","",VLOOKUP($C422,'Base produits'!$B$5:$H$91,7,FALSE)),""))</f>
        <v/>
      </c>
      <c r="G422" s="21">
        <f>IF(OR($C422="",$E422="",$F422=""),"",$E422*$F422)</f>
        <v/>
      </c>
      <c r="H422" s="29" t="n"/>
    </row>
    <row r="423">
      <c r="A423" s="30" t="n"/>
      <c r="B423" s="29" t="n"/>
      <c r="C423" s="23" t="n"/>
      <c r="D423" s="31">
        <f>IF($C423="","",IFERROR(VLOOKUP($C423,'Base produits'!$B$5:$F$91,5,FALSE),""))</f>
        <v/>
      </c>
      <c r="E423" s="23" t="n"/>
      <c r="F423" s="19">
        <f>IF($C423="","",IFERROR(IF(VLOOKUP($C423,'Base produits'!$B$5:$H$91,7,FALSE)="","",VLOOKUP($C423,'Base produits'!$B$5:$H$91,7,FALSE)),""))</f>
        <v/>
      </c>
      <c r="G423" s="21">
        <f>IF(OR($C423="",$E423="",$F423=""),"",$E423*$F423)</f>
        <v/>
      </c>
      <c r="H423" s="29" t="n"/>
    </row>
    <row r="424">
      <c r="A424" s="30" t="n"/>
      <c r="B424" s="29" t="n"/>
      <c r="C424" s="23" t="n"/>
      <c r="D424" s="31">
        <f>IF($C424="","",IFERROR(VLOOKUP($C424,'Base produits'!$B$5:$F$91,5,FALSE),""))</f>
        <v/>
      </c>
      <c r="E424" s="23" t="n"/>
      <c r="F424" s="19">
        <f>IF($C424="","",IFERROR(IF(VLOOKUP($C424,'Base produits'!$B$5:$H$91,7,FALSE)="","",VLOOKUP($C424,'Base produits'!$B$5:$H$91,7,FALSE)),""))</f>
        <v/>
      </c>
      <c r="G424" s="21">
        <f>IF(OR($C424="",$E424="",$F424=""),"",$E424*$F424)</f>
        <v/>
      </c>
      <c r="H424" s="29" t="n"/>
    </row>
    <row r="425">
      <c r="A425" s="30" t="n"/>
      <c r="B425" s="29" t="n"/>
      <c r="C425" s="23" t="n"/>
      <c r="D425" s="31">
        <f>IF($C425="","",IFERROR(VLOOKUP($C425,'Base produits'!$B$5:$F$91,5,FALSE),""))</f>
        <v/>
      </c>
      <c r="E425" s="23" t="n"/>
      <c r="F425" s="19">
        <f>IF($C425="","",IFERROR(IF(VLOOKUP($C425,'Base produits'!$B$5:$H$91,7,FALSE)="","",VLOOKUP($C425,'Base produits'!$B$5:$H$91,7,FALSE)),""))</f>
        <v/>
      </c>
      <c r="G425" s="21">
        <f>IF(OR($C425="",$E425="",$F425=""),"",$E425*$F425)</f>
        <v/>
      </c>
      <c r="H425" s="29" t="n"/>
    </row>
    <row r="426">
      <c r="A426" s="30" t="n"/>
      <c r="B426" s="29" t="n"/>
      <c r="C426" s="23" t="n"/>
      <c r="D426" s="31">
        <f>IF($C426="","",IFERROR(VLOOKUP($C426,'Base produits'!$B$5:$F$91,5,FALSE),""))</f>
        <v/>
      </c>
      <c r="E426" s="23" t="n"/>
      <c r="F426" s="19">
        <f>IF($C426="","",IFERROR(IF(VLOOKUP($C426,'Base produits'!$B$5:$H$91,7,FALSE)="","",VLOOKUP($C426,'Base produits'!$B$5:$H$91,7,FALSE)),""))</f>
        <v/>
      </c>
      <c r="G426" s="21">
        <f>IF(OR($C426="",$E426="",$F426=""),"",$E426*$F426)</f>
        <v/>
      </c>
      <c r="H426" s="29" t="n"/>
    </row>
    <row r="427">
      <c r="A427" s="30" t="n"/>
      <c r="B427" s="29" t="n"/>
      <c r="C427" s="23" t="n"/>
      <c r="D427" s="31">
        <f>IF($C427="","",IFERROR(VLOOKUP($C427,'Base produits'!$B$5:$F$91,5,FALSE),""))</f>
        <v/>
      </c>
      <c r="E427" s="23" t="n"/>
      <c r="F427" s="19">
        <f>IF($C427="","",IFERROR(IF(VLOOKUP($C427,'Base produits'!$B$5:$H$91,7,FALSE)="","",VLOOKUP($C427,'Base produits'!$B$5:$H$91,7,FALSE)),""))</f>
        <v/>
      </c>
      <c r="G427" s="21">
        <f>IF(OR($C427="",$E427="",$F427=""),"",$E427*$F427)</f>
        <v/>
      </c>
      <c r="H427" s="29" t="n"/>
    </row>
    <row r="428">
      <c r="A428" s="30" t="n"/>
      <c r="B428" s="29" t="n"/>
      <c r="C428" s="23" t="n"/>
      <c r="D428" s="31">
        <f>IF($C428="","",IFERROR(VLOOKUP($C428,'Base produits'!$B$5:$F$91,5,FALSE),""))</f>
        <v/>
      </c>
      <c r="E428" s="23" t="n"/>
      <c r="F428" s="19">
        <f>IF($C428="","",IFERROR(IF(VLOOKUP($C428,'Base produits'!$B$5:$H$91,7,FALSE)="","",VLOOKUP($C428,'Base produits'!$B$5:$H$91,7,FALSE)),""))</f>
        <v/>
      </c>
      <c r="G428" s="21">
        <f>IF(OR($C428="",$E428="",$F428=""),"",$E428*$F428)</f>
        <v/>
      </c>
      <c r="H428" s="29" t="n"/>
    </row>
    <row r="429">
      <c r="A429" s="30" t="n"/>
      <c r="B429" s="29" t="n"/>
      <c r="C429" s="23" t="n"/>
      <c r="D429" s="31">
        <f>IF($C429="","",IFERROR(VLOOKUP($C429,'Base produits'!$B$5:$F$91,5,FALSE),""))</f>
        <v/>
      </c>
      <c r="E429" s="23" t="n"/>
      <c r="F429" s="19">
        <f>IF($C429="","",IFERROR(IF(VLOOKUP($C429,'Base produits'!$B$5:$H$91,7,FALSE)="","",VLOOKUP($C429,'Base produits'!$B$5:$H$91,7,FALSE)),""))</f>
        <v/>
      </c>
      <c r="G429" s="21">
        <f>IF(OR($C429="",$E429="",$F429=""),"",$E429*$F429)</f>
        <v/>
      </c>
      <c r="H429" s="29" t="n"/>
    </row>
    <row r="430">
      <c r="A430" s="30" t="n"/>
      <c r="B430" s="29" t="n"/>
      <c r="C430" s="23" t="n"/>
      <c r="D430" s="31">
        <f>IF($C430="","",IFERROR(VLOOKUP($C430,'Base produits'!$B$5:$F$91,5,FALSE),""))</f>
        <v/>
      </c>
      <c r="E430" s="23" t="n"/>
      <c r="F430" s="19">
        <f>IF($C430="","",IFERROR(IF(VLOOKUP($C430,'Base produits'!$B$5:$H$91,7,FALSE)="","",VLOOKUP($C430,'Base produits'!$B$5:$H$91,7,FALSE)),""))</f>
        <v/>
      </c>
      <c r="G430" s="21">
        <f>IF(OR($C430="",$E430="",$F430=""),"",$E430*$F430)</f>
        <v/>
      </c>
      <c r="H430" s="29" t="n"/>
    </row>
    <row r="431">
      <c r="A431" s="30" t="n"/>
      <c r="B431" s="29" t="n"/>
      <c r="C431" s="23" t="n"/>
      <c r="D431" s="31">
        <f>IF($C431="","",IFERROR(VLOOKUP($C431,'Base produits'!$B$5:$F$91,5,FALSE),""))</f>
        <v/>
      </c>
      <c r="E431" s="23" t="n"/>
      <c r="F431" s="19">
        <f>IF($C431="","",IFERROR(IF(VLOOKUP($C431,'Base produits'!$B$5:$H$91,7,FALSE)="","",VLOOKUP($C431,'Base produits'!$B$5:$H$91,7,FALSE)),""))</f>
        <v/>
      </c>
      <c r="G431" s="21">
        <f>IF(OR($C431="",$E431="",$F431=""),"",$E431*$F431)</f>
        <v/>
      </c>
      <c r="H431" s="29" t="n"/>
    </row>
    <row r="432">
      <c r="A432" s="30" t="n"/>
      <c r="B432" s="29" t="n"/>
      <c r="C432" s="23" t="n"/>
      <c r="D432" s="31">
        <f>IF($C432="","",IFERROR(VLOOKUP($C432,'Base produits'!$B$5:$F$91,5,FALSE),""))</f>
        <v/>
      </c>
      <c r="E432" s="23" t="n"/>
      <c r="F432" s="19">
        <f>IF($C432="","",IFERROR(IF(VLOOKUP($C432,'Base produits'!$B$5:$H$91,7,FALSE)="","",VLOOKUP($C432,'Base produits'!$B$5:$H$91,7,FALSE)),""))</f>
        <v/>
      </c>
      <c r="G432" s="21">
        <f>IF(OR($C432="",$E432="",$F432=""),"",$E432*$F432)</f>
        <v/>
      </c>
      <c r="H432" s="29" t="n"/>
    </row>
    <row r="433">
      <c r="A433" s="30" t="n"/>
      <c r="B433" s="29" t="n"/>
      <c r="C433" s="23" t="n"/>
      <c r="D433" s="31">
        <f>IF($C433="","",IFERROR(VLOOKUP($C433,'Base produits'!$B$5:$F$91,5,FALSE),""))</f>
        <v/>
      </c>
      <c r="E433" s="23" t="n"/>
      <c r="F433" s="19">
        <f>IF($C433="","",IFERROR(IF(VLOOKUP($C433,'Base produits'!$B$5:$H$91,7,FALSE)="","",VLOOKUP($C433,'Base produits'!$B$5:$H$91,7,FALSE)),""))</f>
        <v/>
      </c>
      <c r="G433" s="21">
        <f>IF(OR($C433="",$E433="",$F433=""),"",$E433*$F433)</f>
        <v/>
      </c>
      <c r="H433" s="29" t="n"/>
    </row>
    <row r="434">
      <c r="A434" s="30" t="n"/>
      <c r="B434" s="29" t="n"/>
      <c r="C434" s="23" t="n"/>
      <c r="D434" s="31">
        <f>IF($C434="","",IFERROR(VLOOKUP($C434,'Base produits'!$B$5:$F$91,5,FALSE),""))</f>
        <v/>
      </c>
      <c r="E434" s="23" t="n"/>
      <c r="F434" s="19">
        <f>IF($C434="","",IFERROR(IF(VLOOKUP($C434,'Base produits'!$B$5:$H$91,7,FALSE)="","",VLOOKUP($C434,'Base produits'!$B$5:$H$91,7,FALSE)),""))</f>
        <v/>
      </c>
      <c r="G434" s="21">
        <f>IF(OR($C434="",$E434="",$F434=""),"",$E434*$F434)</f>
        <v/>
      </c>
      <c r="H434" s="29" t="n"/>
    </row>
    <row r="435">
      <c r="A435" s="30" t="n"/>
      <c r="B435" s="29" t="n"/>
      <c r="C435" s="23" t="n"/>
      <c r="D435" s="31">
        <f>IF($C435="","",IFERROR(VLOOKUP($C435,'Base produits'!$B$5:$F$91,5,FALSE),""))</f>
        <v/>
      </c>
      <c r="E435" s="23" t="n"/>
      <c r="F435" s="19">
        <f>IF($C435="","",IFERROR(IF(VLOOKUP($C435,'Base produits'!$B$5:$H$91,7,FALSE)="","",VLOOKUP($C435,'Base produits'!$B$5:$H$91,7,FALSE)),""))</f>
        <v/>
      </c>
      <c r="G435" s="21">
        <f>IF(OR($C435="",$E435="",$F435=""),"",$E435*$F435)</f>
        <v/>
      </c>
      <c r="H435" s="29" t="n"/>
    </row>
    <row r="436">
      <c r="A436" s="30" t="n"/>
      <c r="B436" s="29" t="n"/>
      <c r="C436" s="23" t="n"/>
      <c r="D436" s="31">
        <f>IF($C436="","",IFERROR(VLOOKUP($C436,'Base produits'!$B$5:$F$91,5,FALSE),""))</f>
        <v/>
      </c>
      <c r="E436" s="23" t="n"/>
      <c r="F436" s="19">
        <f>IF($C436="","",IFERROR(IF(VLOOKUP($C436,'Base produits'!$B$5:$H$91,7,FALSE)="","",VLOOKUP($C436,'Base produits'!$B$5:$H$91,7,FALSE)),""))</f>
        <v/>
      </c>
      <c r="G436" s="21">
        <f>IF(OR($C436="",$E436="",$F436=""),"",$E436*$F436)</f>
        <v/>
      </c>
      <c r="H436" s="29" t="n"/>
    </row>
    <row r="437">
      <c r="A437" s="30" t="n"/>
      <c r="B437" s="29" t="n"/>
      <c r="C437" s="23" t="n"/>
      <c r="D437" s="31">
        <f>IF($C437="","",IFERROR(VLOOKUP($C437,'Base produits'!$B$5:$F$91,5,FALSE),""))</f>
        <v/>
      </c>
      <c r="E437" s="23" t="n"/>
      <c r="F437" s="19">
        <f>IF($C437="","",IFERROR(IF(VLOOKUP($C437,'Base produits'!$B$5:$H$91,7,FALSE)="","",VLOOKUP($C437,'Base produits'!$B$5:$H$91,7,FALSE)),""))</f>
        <v/>
      </c>
      <c r="G437" s="21">
        <f>IF(OR($C437="",$E437="",$F437=""),"",$E437*$F437)</f>
        <v/>
      </c>
      <c r="H437" s="29" t="n"/>
    </row>
    <row r="438">
      <c r="A438" s="30" t="n"/>
      <c r="B438" s="29" t="n"/>
      <c r="C438" s="23" t="n"/>
      <c r="D438" s="31">
        <f>IF($C438="","",IFERROR(VLOOKUP($C438,'Base produits'!$B$5:$F$91,5,FALSE),""))</f>
        <v/>
      </c>
      <c r="E438" s="23" t="n"/>
      <c r="F438" s="19">
        <f>IF($C438="","",IFERROR(IF(VLOOKUP($C438,'Base produits'!$B$5:$H$91,7,FALSE)="","",VLOOKUP($C438,'Base produits'!$B$5:$H$91,7,FALSE)),""))</f>
        <v/>
      </c>
      <c r="G438" s="21">
        <f>IF(OR($C438="",$E438="",$F438=""),"",$E438*$F438)</f>
        <v/>
      </c>
      <c r="H438" s="29" t="n"/>
    </row>
    <row r="439">
      <c r="A439" s="30" t="n"/>
      <c r="B439" s="29" t="n"/>
      <c r="C439" s="23" t="n"/>
      <c r="D439" s="31">
        <f>IF($C439="","",IFERROR(VLOOKUP($C439,'Base produits'!$B$5:$F$91,5,FALSE),""))</f>
        <v/>
      </c>
      <c r="E439" s="23" t="n"/>
      <c r="F439" s="19">
        <f>IF($C439="","",IFERROR(IF(VLOOKUP($C439,'Base produits'!$B$5:$H$91,7,FALSE)="","",VLOOKUP($C439,'Base produits'!$B$5:$H$91,7,FALSE)),""))</f>
        <v/>
      </c>
      <c r="G439" s="21">
        <f>IF(OR($C439="",$E439="",$F439=""),"",$E439*$F439)</f>
        <v/>
      </c>
      <c r="H439" s="29" t="n"/>
    </row>
    <row r="440">
      <c r="A440" s="30" t="n"/>
      <c r="B440" s="29" t="n"/>
      <c r="C440" s="23" t="n"/>
      <c r="D440" s="31">
        <f>IF($C440="","",IFERROR(VLOOKUP($C440,'Base produits'!$B$5:$F$91,5,FALSE),""))</f>
        <v/>
      </c>
      <c r="E440" s="23" t="n"/>
      <c r="F440" s="19">
        <f>IF($C440="","",IFERROR(IF(VLOOKUP($C440,'Base produits'!$B$5:$H$91,7,FALSE)="","",VLOOKUP($C440,'Base produits'!$B$5:$H$91,7,FALSE)),""))</f>
        <v/>
      </c>
      <c r="G440" s="21">
        <f>IF(OR($C440="",$E440="",$F440=""),"",$E440*$F440)</f>
        <v/>
      </c>
      <c r="H440" s="29" t="n"/>
    </row>
    <row r="441">
      <c r="A441" s="30" t="n"/>
      <c r="B441" s="29" t="n"/>
      <c r="C441" s="23" t="n"/>
      <c r="D441" s="31">
        <f>IF($C441="","",IFERROR(VLOOKUP($C441,'Base produits'!$B$5:$F$91,5,FALSE),""))</f>
        <v/>
      </c>
      <c r="E441" s="23" t="n"/>
      <c r="F441" s="19">
        <f>IF($C441="","",IFERROR(IF(VLOOKUP($C441,'Base produits'!$B$5:$H$91,7,FALSE)="","",VLOOKUP($C441,'Base produits'!$B$5:$H$91,7,FALSE)),""))</f>
        <v/>
      </c>
      <c r="G441" s="21">
        <f>IF(OR($C441="",$E441="",$F441=""),"",$E441*$F441)</f>
        <v/>
      </c>
      <c r="H441" s="29" t="n"/>
    </row>
    <row r="442">
      <c r="A442" s="30" t="n"/>
      <c r="B442" s="29" t="n"/>
      <c r="C442" s="23" t="n"/>
      <c r="D442" s="31">
        <f>IF($C442="","",IFERROR(VLOOKUP($C442,'Base produits'!$B$5:$F$91,5,FALSE),""))</f>
        <v/>
      </c>
      <c r="E442" s="23" t="n"/>
      <c r="F442" s="19">
        <f>IF($C442="","",IFERROR(IF(VLOOKUP($C442,'Base produits'!$B$5:$H$91,7,FALSE)="","",VLOOKUP($C442,'Base produits'!$B$5:$H$91,7,FALSE)),""))</f>
        <v/>
      </c>
      <c r="G442" s="21">
        <f>IF(OR($C442="",$E442="",$F442=""),"",$E442*$F442)</f>
        <v/>
      </c>
      <c r="H442" s="29" t="n"/>
    </row>
    <row r="443">
      <c r="A443" s="30" t="n"/>
      <c r="B443" s="29" t="n"/>
      <c r="C443" s="23" t="n"/>
      <c r="D443" s="31">
        <f>IF($C443="","",IFERROR(VLOOKUP($C443,'Base produits'!$B$5:$F$91,5,FALSE),""))</f>
        <v/>
      </c>
      <c r="E443" s="23" t="n"/>
      <c r="F443" s="19">
        <f>IF($C443="","",IFERROR(IF(VLOOKUP($C443,'Base produits'!$B$5:$H$91,7,FALSE)="","",VLOOKUP($C443,'Base produits'!$B$5:$H$91,7,FALSE)),""))</f>
        <v/>
      </c>
      <c r="G443" s="21">
        <f>IF(OR($C443="",$E443="",$F443=""),"",$E443*$F443)</f>
        <v/>
      </c>
      <c r="H443" s="29" t="n"/>
    </row>
    <row r="444">
      <c r="A444" s="30" t="n"/>
      <c r="B444" s="29" t="n"/>
      <c r="C444" s="23" t="n"/>
      <c r="D444" s="31">
        <f>IF($C444="","",IFERROR(VLOOKUP($C444,'Base produits'!$B$5:$F$91,5,FALSE),""))</f>
        <v/>
      </c>
      <c r="E444" s="23" t="n"/>
      <c r="F444" s="19">
        <f>IF($C444="","",IFERROR(IF(VLOOKUP($C444,'Base produits'!$B$5:$H$91,7,FALSE)="","",VLOOKUP($C444,'Base produits'!$B$5:$H$91,7,FALSE)),""))</f>
        <v/>
      </c>
      <c r="G444" s="21">
        <f>IF(OR($C444="",$E444="",$F444=""),"",$E444*$F444)</f>
        <v/>
      </c>
      <c r="H444" s="29" t="n"/>
    </row>
    <row r="445">
      <c r="A445" s="30" t="n"/>
      <c r="B445" s="29" t="n"/>
      <c r="C445" s="23" t="n"/>
      <c r="D445" s="31">
        <f>IF($C445="","",IFERROR(VLOOKUP($C445,'Base produits'!$B$5:$F$91,5,FALSE),""))</f>
        <v/>
      </c>
      <c r="E445" s="23" t="n"/>
      <c r="F445" s="19">
        <f>IF($C445="","",IFERROR(IF(VLOOKUP($C445,'Base produits'!$B$5:$H$91,7,FALSE)="","",VLOOKUP($C445,'Base produits'!$B$5:$H$91,7,FALSE)),""))</f>
        <v/>
      </c>
      <c r="G445" s="21">
        <f>IF(OR($C445="",$E445="",$F445=""),"",$E445*$F445)</f>
        <v/>
      </c>
      <c r="H445" s="29" t="n"/>
    </row>
    <row r="446">
      <c r="A446" s="30" t="n"/>
      <c r="B446" s="29" t="n"/>
      <c r="C446" s="23" t="n"/>
      <c r="D446" s="31">
        <f>IF($C446="","",IFERROR(VLOOKUP($C446,'Base produits'!$B$5:$F$91,5,FALSE),""))</f>
        <v/>
      </c>
      <c r="E446" s="23" t="n"/>
      <c r="F446" s="19">
        <f>IF($C446="","",IFERROR(IF(VLOOKUP($C446,'Base produits'!$B$5:$H$91,7,FALSE)="","",VLOOKUP($C446,'Base produits'!$B$5:$H$91,7,FALSE)),""))</f>
        <v/>
      </c>
      <c r="G446" s="21">
        <f>IF(OR($C446="",$E446="",$F446=""),"",$E446*$F446)</f>
        <v/>
      </c>
      <c r="H446" s="29" t="n"/>
    </row>
    <row r="447">
      <c r="A447" s="30" t="n"/>
      <c r="B447" s="29" t="n"/>
      <c r="C447" s="23" t="n"/>
      <c r="D447" s="31">
        <f>IF($C447="","",IFERROR(VLOOKUP($C447,'Base produits'!$B$5:$F$91,5,FALSE),""))</f>
        <v/>
      </c>
      <c r="E447" s="23" t="n"/>
      <c r="F447" s="19">
        <f>IF($C447="","",IFERROR(IF(VLOOKUP($C447,'Base produits'!$B$5:$H$91,7,FALSE)="","",VLOOKUP($C447,'Base produits'!$B$5:$H$91,7,FALSE)),""))</f>
        <v/>
      </c>
      <c r="G447" s="21">
        <f>IF(OR($C447="",$E447="",$F447=""),"",$E447*$F447)</f>
        <v/>
      </c>
      <c r="H447" s="29" t="n"/>
    </row>
    <row r="448">
      <c r="A448" s="30" t="n"/>
      <c r="B448" s="29" t="n"/>
      <c r="C448" s="23" t="n"/>
      <c r="D448" s="31">
        <f>IF($C448="","",IFERROR(VLOOKUP($C448,'Base produits'!$B$5:$F$91,5,FALSE),""))</f>
        <v/>
      </c>
      <c r="E448" s="23" t="n"/>
      <c r="F448" s="19">
        <f>IF($C448="","",IFERROR(IF(VLOOKUP($C448,'Base produits'!$B$5:$H$91,7,FALSE)="","",VLOOKUP($C448,'Base produits'!$B$5:$H$91,7,FALSE)),""))</f>
        <v/>
      </c>
      <c r="G448" s="21">
        <f>IF(OR($C448="",$E448="",$F448=""),"",$E448*$F448)</f>
        <v/>
      </c>
      <c r="H448" s="29" t="n"/>
    </row>
    <row r="449">
      <c r="A449" s="30" t="n"/>
      <c r="B449" s="29" t="n"/>
      <c r="C449" s="23" t="n"/>
      <c r="D449" s="31">
        <f>IF($C449="","",IFERROR(VLOOKUP($C449,'Base produits'!$B$5:$F$91,5,FALSE),""))</f>
        <v/>
      </c>
      <c r="E449" s="23" t="n"/>
      <c r="F449" s="19">
        <f>IF($C449="","",IFERROR(IF(VLOOKUP($C449,'Base produits'!$B$5:$H$91,7,FALSE)="","",VLOOKUP($C449,'Base produits'!$B$5:$H$91,7,FALSE)),""))</f>
        <v/>
      </c>
      <c r="G449" s="21">
        <f>IF(OR($C449="",$E449="",$F449=""),"",$E449*$F449)</f>
        <v/>
      </c>
      <c r="H449" s="29" t="n"/>
    </row>
    <row r="450">
      <c r="A450" s="30" t="n"/>
      <c r="B450" s="29" t="n"/>
      <c r="C450" s="23" t="n"/>
      <c r="D450" s="31">
        <f>IF($C450="","",IFERROR(VLOOKUP($C450,'Base produits'!$B$5:$F$91,5,FALSE),""))</f>
        <v/>
      </c>
      <c r="E450" s="23" t="n"/>
      <c r="F450" s="19">
        <f>IF($C450="","",IFERROR(IF(VLOOKUP($C450,'Base produits'!$B$5:$H$91,7,FALSE)="","",VLOOKUP($C450,'Base produits'!$B$5:$H$91,7,FALSE)),""))</f>
        <v/>
      </c>
      <c r="G450" s="21">
        <f>IF(OR($C450="",$E450="",$F450=""),"",$E450*$F450)</f>
        <v/>
      </c>
      <c r="H450" s="29" t="n"/>
    </row>
    <row r="451">
      <c r="A451" s="30" t="n"/>
      <c r="B451" s="29" t="n"/>
      <c r="C451" s="23" t="n"/>
      <c r="D451" s="31">
        <f>IF($C451="","",IFERROR(VLOOKUP($C451,'Base produits'!$B$5:$F$91,5,FALSE),""))</f>
        <v/>
      </c>
      <c r="E451" s="23" t="n"/>
      <c r="F451" s="19">
        <f>IF($C451="","",IFERROR(IF(VLOOKUP($C451,'Base produits'!$B$5:$H$91,7,FALSE)="","",VLOOKUP($C451,'Base produits'!$B$5:$H$91,7,FALSE)),""))</f>
        <v/>
      </c>
      <c r="G451" s="21">
        <f>IF(OR($C451="",$E451="",$F451=""),"",$E451*$F451)</f>
        <v/>
      </c>
      <c r="H451" s="29" t="n"/>
    </row>
    <row r="452">
      <c r="A452" s="30" t="n"/>
      <c r="B452" s="29" t="n"/>
      <c r="C452" s="23" t="n"/>
      <c r="D452" s="31">
        <f>IF($C452="","",IFERROR(VLOOKUP($C452,'Base produits'!$B$5:$F$91,5,FALSE),""))</f>
        <v/>
      </c>
      <c r="E452" s="23" t="n"/>
      <c r="F452" s="19">
        <f>IF($C452="","",IFERROR(IF(VLOOKUP($C452,'Base produits'!$B$5:$H$91,7,FALSE)="","",VLOOKUP($C452,'Base produits'!$B$5:$H$91,7,FALSE)),""))</f>
        <v/>
      </c>
      <c r="G452" s="21">
        <f>IF(OR($C452="",$E452="",$F452=""),"",$E452*$F452)</f>
        <v/>
      </c>
      <c r="H452" s="29" t="n"/>
    </row>
    <row r="453">
      <c r="A453" s="30" t="n"/>
      <c r="B453" s="29" t="n"/>
      <c r="C453" s="23" t="n"/>
      <c r="D453" s="31">
        <f>IF($C453="","",IFERROR(VLOOKUP($C453,'Base produits'!$B$5:$F$91,5,FALSE),""))</f>
        <v/>
      </c>
      <c r="E453" s="23" t="n"/>
      <c r="F453" s="19">
        <f>IF($C453="","",IFERROR(IF(VLOOKUP($C453,'Base produits'!$B$5:$H$91,7,FALSE)="","",VLOOKUP($C453,'Base produits'!$B$5:$H$91,7,FALSE)),""))</f>
        <v/>
      </c>
      <c r="G453" s="21">
        <f>IF(OR($C453="",$E453="",$F453=""),"",$E453*$F453)</f>
        <v/>
      </c>
      <c r="H453" s="29" t="n"/>
    </row>
    <row r="454">
      <c r="A454" s="30" t="n"/>
      <c r="B454" s="29" t="n"/>
      <c r="C454" s="23" t="n"/>
      <c r="D454" s="31">
        <f>IF($C454="","",IFERROR(VLOOKUP($C454,'Base produits'!$B$5:$F$91,5,FALSE),""))</f>
        <v/>
      </c>
      <c r="E454" s="23" t="n"/>
      <c r="F454" s="19">
        <f>IF($C454="","",IFERROR(IF(VLOOKUP($C454,'Base produits'!$B$5:$H$91,7,FALSE)="","",VLOOKUP($C454,'Base produits'!$B$5:$H$91,7,FALSE)),""))</f>
        <v/>
      </c>
      <c r="G454" s="21">
        <f>IF(OR($C454="",$E454="",$F454=""),"",$E454*$F454)</f>
        <v/>
      </c>
      <c r="H454" s="29" t="n"/>
    </row>
    <row r="455">
      <c r="A455" s="30" t="n"/>
      <c r="B455" s="29" t="n"/>
      <c r="C455" s="23" t="n"/>
      <c r="D455" s="31">
        <f>IF($C455="","",IFERROR(VLOOKUP($C455,'Base produits'!$B$5:$F$91,5,FALSE),""))</f>
        <v/>
      </c>
      <c r="E455" s="23" t="n"/>
      <c r="F455" s="19">
        <f>IF($C455="","",IFERROR(IF(VLOOKUP($C455,'Base produits'!$B$5:$H$91,7,FALSE)="","",VLOOKUP($C455,'Base produits'!$B$5:$H$91,7,FALSE)),""))</f>
        <v/>
      </c>
      <c r="G455" s="21">
        <f>IF(OR($C455="",$E455="",$F455=""),"",$E455*$F455)</f>
        <v/>
      </c>
      <c r="H455" s="29" t="n"/>
    </row>
    <row r="456">
      <c r="A456" s="30" t="n"/>
      <c r="B456" s="29" t="n"/>
      <c r="C456" s="23" t="n"/>
      <c r="D456" s="31">
        <f>IF($C456="","",IFERROR(VLOOKUP($C456,'Base produits'!$B$5:$F$91,5,FALSE),""))</f>
        <v/>
      </c>
      <c r="E456" s="23" t="n"/>
      <c r="F456" s="19">
        <f>IF($C456="","",IFERROR(IF(VLOOKUP($C456,'Base produits'!$B$5:$H$91,7,FALSE)="","",VLOOKUP($C456,'Base produits'!$B$5:$H$91,7,FALSE)),""))</f>
        <v/>
      </c>
      <c r="G456" s="21">
        <f>IF(OR($C456="",$E456="",$F456=""),"",$E456*$F456)</f>
        <v/>
      </c>
      <c r="H456" s="29" t="n"/>
    </row>
    <row r="457">
      <c r="A457" s="30" t="n"/>
      <c r="B457" s="29" t="n"/>
      <c r="C457" s="23" t="n"/>
      <c r="D457" s="31">
        <f>IF($C457="","",IFERROR(VLOOKUP($C457,'Base produits'!$B$5:$F$91,5,FALSE),""))</f>
        <v/>
      </c>
      <c r="E457" s="23" t="n"/>
      <c r="F457" s="19">
        <f>IF($C457="","",IFERROR(IF(VLOOKUP($C457,'Base produits'!$B$5:$H$91,7,FALSE)="","",VLOOKUP($C457,'Base produits'!$B$5:$H$91,7,FALSE)),""))</f>
        <v/>
      </c>
      <c r="G457" s="21">
        <f>IF(OR($C457="",$E457="",$F457=""),"",$E457*$F457)</f>
        <v/>
      </c>
      <c r="H457" s="29" t="n"/>
    </row>
    <row r="458">
      <c r="A458" s="30" t="n"/>
      <c r="B458" s="29" t="n"/>
      <c r="C458" s="23" t="n"/>
      <c r="D458" s="31">
        <f>IF($C458="","",IFERROR(VLOOKUP($C458,'Base produits'!$B$5:$F$91,5,FALSE),""))</f>
        <v/>
      </c>
      <c r="E458" s="23" t="n"/>
      <c r="F458" s="19">
        <f>IF($C458="","",IFERROR(IF(VLOOKUP($C458,'Base produits'!$B$5:$H$91,7,FALSE)="","",VLOOKUP($C458,'Base produits'!$B$5:$H$91,7,FALSE)),""))</f>
        <v/>
      </c>
      <c r="G458" s="21">
        <f>IF(OR($C458="",$E458="",$F458=""),"",$E458*$F458)</f>
        <v/>
      </c>
      <c r="H458" s="29" t="n"/>
    </row>
    <row r="459">
      <c r="A459" s="30" t="n"/>
      <c r="B459" s="29" t="n"/>
      <c r="C459" s="23" t="n"/>
      <c r="D459" s="31">
        <f>IF($C459="","",IFERROR(VLOOKUP($C459,'Base produits'!$B$5:$F$91,5,FALSE),""))</f>
        <v/>
      </c>
      <c r="E459" s="23" t="n"/>
      <c r="F459" s="19">
        <f>IF($C459="","",IFERROR(IF(VLOOKUP($C459,'Base produits'!$B$5:$H$91,7,FALSE)="","",VLOOKUP($C459,'Base produits'!$B$5:$H$91,7,FALSE)),""))</f>
        <v/>
      </c>
      <c r="G459" s="21">
        <f>IF(OR($C459="",$E459="",$F459=""),"",$E459*$F459)</f>
        <v/>
      </c>
      <c r="H459" s="29" t="n"/>
    </row>
    <row r="460">
      <c r="A460" s="30" t="n"/>
      <c r="B460" s="29" t="n"/>
      <c r="C460" s="23" t="n"/>
      <c r="D460" s="31">
        <f>IF($C460="","",IFERROR(VLOOKUP($C460,'Base produits'!$B$5:$F$91,5,FALSE),""))</f>
        <v/>
      </c>
      <c r="E460" s="23" t="n"/>
      <c r="F460" s="19">
        <f>IF($C460="","",IFERROR(IF(VLOOKUP($C460,'Base produits'!$B$5:$H$91,7,FALSE)="","",VLOOKUP($C460,'Base produits'!$B$5:$H$91,7,FALSE)),""))</f>
        <v/>
      </c>
      <c r="G460" s="21">
        <f>IF(OR($C460="",$E460="",$F460=""),"",$E460*$F460)</f>
        <v/>
      </c>
      <c r="H460" s="29" t="n"/>
    </row>
    <row r="461">
      <c r="A461" s="30" t="n"/>
      <c r="B461" s="29" t="n"/>
      <c r="C461" s="23" t="n"/>
      <c r="D461" s="31">
        <f>IF($C461="","",IFERROR(VLOOKUP($C461,'Base produits'!$B$5:$F$91,5,FALSE),""))</f>
        <v/>
      </c>
      <c r="E461" s="23" t="n"/>
      <c r="F461" s="19">
        <f>IF($C461="","",IFERROR(IF(VLOOKUP($C461,'Base produits'!$B$5:$H$91,7,FALSE)="","",VLOOKUP($C461,'Base produits'!$B$5:$H$91,7,FALSE)),""))</f>
        <v/>
      </c>
      <c r="G461" s="21">
        <f>IF(OR($C461="",$E461="",$F461=""),"",$E461*$F461)</f>
        <v/>
      </c>
      <c r="H461" s="29" t="n"/>
    </row>
    <row r="462">
      <c r="A462" s="30" t="n"/>
      <c r="B462" s="29" t="n"/>
      <c r="C462" s="23" t="n"/>
      <c r="D462" s="31">
        <f>IF($C462="","",IFERROR(VLOOKUP($C462,'Base produits'!$B$5:$F$91,5,FALSE),""))</f>
        <v/>
      </c>
      <c r="E462" s="23" t="n"/>
      <c r="F462" s="19">
        <f>IF($C462="","",IFERROR(IF(VLOOKUP($C462,'Base produits'!$B$5:$H$91,7,FALSE)="","",VLOOKUP($C462,'Base produits'!$B$5:$H$91,7,FALSE)),""))</f>
        <v/>
      </c>
      <c r="G462" s="21">
        <f>IF(OR($C462="",$E462="",$F462=""),"",$E462*$F462)</f>
        <v/>
      </c>
      <c r="H462" s="29" t="n"/>
    </row>
    <row r="463">
      <c r="A463" s="30" t="n"/>
      <c r="B463" s="29" t="n"/>
      <c r="C463" s="23" t="n"/>
      <c r="D463" s="31">
        <f>IF($C463="","",IFERROR(VLOOKUP($C463,'Base produits'!$B$5:$F$91,5,FALSE),""))</f>
        <v/>
      </c>
      <c r="E463" s="23" t="n"/>
      <c r="F463" s="19">
        <f>IF($C463="","",IFERROR(IF(VLOOKUP($C463,'Base produits'!$B$5:$H$91,7,FALSE)="","",VLOOKUP($C463,'Base produits'!$B$5:$H$91,7,FALSE)),""))</f>
        <v/>
      </c>
      <c r="G463" s="21">
        <f>IF(OR($C463="",$E463="",$F463=""),"",$E463*$F463)</f>
        <v/>
      </c>
      <c r="H463" s="29" t="n"/>
    </row>
    <row r="464">
      <c r="A464" s="30" t="n"/>
      <c r="B464" s="29" t="n"/>
      <c r="C464" s="23" t="n"/>
      <c r="D464" s="31">
        <f>IF($C464="","",IFERROR(VLOOKUP($C464,'Base produits'!$B$5:$F$91,5,FALSE),""))</f>
        <v/>
      </c>
      <c r="E464" s="23" t="n"/>
      <c r="F464" s="19">
        <f>IF($C464="","",IFERROR(IF(VLOOKUP($C464,'Base produits'!$B$5:$H$91,7,FALSE)="","",VLOOKUP($C464,'Base produits'!$B$5:$H$91,7,FALSE)),""))</f>
        <v/>
      </c>
      <c r="G464" s="21">
        <f>IF(OR($C464="",$E464="",$F464=""),"",$E464*$F464)</f>
        <v/>
      </c>
      <c r="H464" s="29" t="n"/>
    </row>
    <row r="465">
      <c r="A465" s="30" t="n"/>
      <c r="B465" s="29" t="n"/>
      <c r="C465" s="23" t="n"/>
      <c r="D465" s="31">
        <f>IF($C465="","",IFERROR(VLOOKUP($C465,'Base produits'!$B$5:$F$91,5,FALSE),""))</f>
        <v/>
      </c>
      <c r="E465" s="23" t="n"/>
      <c r="F465" s="19">
        <f>IF($C465="","",IFERROR(IF(VLOOKUP($C465,'Base produits'!$B$5:$H$91,7,FALSE)="","",VLOOKUP($C465,'Base produits'!$B$5:$H$91,7,FALSE)),""))</f>
        <v/>
      </c>
      <c r="G465" s="21">
        <f>IF(OR($C465="",$E465="",$F465=""),"",$E465*$F465)</f>
        <v/>
      </c>
      <c r="H465" s="29" t="n"/>
    </row>
    <row r="466">
      <c r="A466" s="30" t="n"/>
      <c r="B466" s="29" t="n"/>
      <c r="C466" s="23" t="n"/>
      <c r="D466" s="31">
        <f>IF($C466="","",IFERROR(VLOOKUP($C466,'Base produits'!$B$5:$F$91,5,FALSE),""))</f>
        <v/>
      </c>
      <c r="E466" s="23" t="n"/>
      <c r="F466" s="19">
        <f>IF($C466="","",IFERROR(IF(VLOOKUP($C466,'Base produits'!$B$5:$H$91,7,FALSE)="","",VLOOKUP($C466,'Base produits'!$B$5:$H$91,7,FALSE)),""))</f>
        <v/>
      </c>
      <c r="G466" s="21">
        <f>IF(OR($C466="",$E466="",$F466=""),"",$E466*$F466)</f>
        <v/>
      </c>
      <c r="H466" s="29" t="n"/>
    </row>
    <row r="467">
      <c r="A467" s="30" t="n"/>
      <c r="B467" s="29" t="n"/>
      <c r="C467" s="23" t="n"/>
      <c r="D467" s="31">
        <f>IF($C467="","",IFERROR(VLOOKUP($C467,'Base produits'!$B$5:$F$91,5,FALSE),""))</f>
        <v/>
      </c>
      <c r="E467" s="23" t="n"/>
      <c r="F467" s="19">
        <f>IF($C467="","",IFERROR(IF(VLOOKUP($C467,'Base produits'!$B$5:$H$91,7,FALSE)="","",VLOOKUP($C467,'Base produits'!$B$5:$H$91,7,FALSE)),""))</f>
        <v/>
      </c>
      <c r="G467" s="21">
        <f>IF(OR($C467="",$E467="",$F467=""),"",$E467*$F467)</f>
        <v/>
      </c>
      <c r="H467" s="29" t="n"/>
    </row>
    <row r="468">
      <c r="A468" s="30" t="n"/>
      <c r="B468" s="29" t="n"/>
      <c r="C468" s="23" t="n"/>
      <c r="D468" s="31">
        <f>IF($C468="","",IFERROR(VLOOKUP($C468,'Base produits'!$B$5:$F$91,5,FALSE),""))</f>
        <v/>
      </c>
      <c r="E468" s="23" t="n"/>
      <c r="F468" s="19">
        <f>IF($C468="","",IFERROR(IF(VLOOKUP($C468,'Base produits'!$B$5:$H$91,7,FALSE)="","",VLOOKUP($C468,'Base produits'!$B$5:$H$91,7,FALSE)),""))</f>
        <v/>
      </c>
      <c r="G468" s="21">
        <f>IF(OR($C468="",$E468="",$F468=""),"",$E468*$F468)</f>
        <v/>
      </c>
      <c r="H468" s="29" t="n"/>
    </row>
    <row r="469">
      <c r="A469" s="30" t="n"/>
      <c r="B469" s="29" t="n"/>
      <c r="C469" s="23" t="n"/>
      <c r="D469" s="31">
        <f>IF($C469="","",IFERROR(VLOOKUP($C469,'Base produits'!$B$5:$F$91,5,FALSE),""))</f>
        <v/>
      </c>
      <c r="E469" s="23" t="n"/>
      <c r="F469" s="19">
        <f>IF($C469="","",IFERROR(IF(VLOOKUP($C469,'Base produits'!$B$5:$H$91,7,FALSE)="","",VLOOKUP($C469,'Base produits'!$B$5:$H$91,7,FALSE)),""))</f>
        <v/>
      </c>
      <c r="G469" s="21">
        <f>IF(OR($C469="",$E469="",$F469=""),"",$E469*$F469)</f>
        <v/>
      </c>
      <c r="H469" s="29" t="n"/>
    </row>
    <row r="470">
      <c r="A470" s="30" t="n"/>
      <c r="B470" s="29" t="n"/>
      <c r="C470" s="23" t="n"/>
      <c r="D470" s="31">
        <f>IF($C470="","",IFERROR(VLOOKUP($C470,'Base produits'!$B$5:$F$91,5,FALSE),""))</f>
        <v/>
      </c>
      <c r="E470" s="23" t="n"/>
      <c r="F470" s="19">
        <f>IF($C470="","",IFERROR(IF(VLOOKUP($C470,'Base produits'!$B$5:$H$91,7,FALSE)="","",VLOOKUP($C470,'Base produits'!$B$5:$H$91,7,FALSE)),""))</f>
        <v/>
      </c>
      <c r="G470" s="21">
        <f>IF(OR($C470="",$E470="",$F470=""),"",$E470*$F470)</f>
        <v/>
      </c>
      <c r="H470" s="29" t="n"/>
    </row>
    <row r="471">
      <c r="A471" s="30" t="n"/>
      <c r="B471" s="29" t="n"/>
      <c r="C471" s="23" t="n"/>
      <c r="D471" s="31">
        <f>IF($C471="","",IFERROR(VLOOKUP($C471,'Base produits'!$B$5:$F$91,5,FALSE),""))</f>
        <v/>
      </c>
      <c r="E471" s="23" t="n"/>
      <c r="F471" s="19">
        <f>IF($C471="","",IFERROR(IF(VLOOKUP($C471,'Base produits'!$B$5:$H$91,7,FALSE)="","",VLOOKUP($C471,'Base produits'!$B$5:$H$91,7,FALSE)),""))</f>
        <v/>
      </c>
      <c r="G471" s="21">
        <f>IF(OR($C471="",$E471="",$F471=""),"",$E471*$F471)</f>
        <v/>
      </c>
      <c r="H471" s="29" t="n"/>
    </row>
    <row r="472">
      <c r="A472" s="30" t="n"/>
      <c r="B472" s="29" t="n"/>
      <c r="C472" s="23" t="n"/>
      <c r="D472" s="31">
        <f>IF($C472="","",IFERROR(VLOOKUP($C472,'Base produits'!$B$5:$F$91,5,FALSE),""))</f>
        <v/>
      </c>
      <c r="E472" s="23" t="n"/>
      <c r="F472" s="19">
        <f>IF($C472="","",IFERROR(IF(VLOOKUP($C472,'Base produits'!$B$5:$H$91,7,FALSE)="","",VLOOKUP($C472,'Base produits'!$B$5:$H$91,7,FALSE)),""))</f>
        <v/>
      </c>
      <c r="G472" s="21">
        <f>IF(OR($C472="",$E472="",$F472=""),"",$E472*$F472)</f>
        <v/>
      </c>
      <c r="H472" s="29" t="n"/>
    </row>
    <row r="473">
      <c r="A473" s="30" t="n"/>
      <c r="B473" s="29" t="n"/>
      <c r="C473" s="23" t="n"/>
      <c r="D473" s="31">
        <f>IF($C473="","",IFERROR(VLOOKUP($C473,'Base produits'!$B$5:$F$91,5,FALSE),""))</f>
        <v/>
      </c>
      <c r="E473" s="23" t="n"/>
      <c r="F473" s="19">
        <f>IF($C473="","",IFERROR(IF(VLOOKUP($C473,'Base produits'!$B$5:$H$91,7,FALSE)="","",VLOOKUP($C473,'Base produits'!$B$5:$H$91,7,FALSE)),""))</f>
        <v/>
      </c>
      <c r="G473" s="21">
        <f>IF(OR($C473="",$E473="",$F473=""),"",$E473*$F473)</f>
        <v/>
      </c>
      <c r="H473" s="29" t="n"/>
    </row>
    <row r="474">
      <c r="A474" s="30" t="n"/>
      <c r="B474" s="29" t="n"/>
      <c r="C474" s="23" t="n"/>
      <c r="D474" s="31">
        <f>IF($C474="","",IFERROR(VLOOKUP($C474,'Base produits'!$B$5:$F$91,5,FALSE),""))</f>
        <v/>
      </c>
      <c r="E474" s="23" t="n"/>
      <c r="F474" s="19">
        <f>IF($C474="","",IFERROR(IF(VLOOKUP($C474,'Base produits'!$B$5:$H$91,7,FALSE)="","",VLOOKUP($C474,'Base produits'!$B$5:$H$91,7,FALSE)),""))</f>
        <v/>
      </c>
      <c r="G474" s="21">
        <f>IF(OR($C474="",$E474="",$F474=""),"",$E474*$F474)</f>
        <v/>
      </c>
      <c r="H474" s="29" t="n"/>
    </row>
    <row r="475">
      <c r="A475" s="30" t="n"/>
      <c r="B475" s="29" t="n"/>
      <c r="C475" s="23" t="n"/>
      <c r="D475" s="31">
        <f>IF($C475="","",IFERROR(VLOOKUP($C475,'Base produits'!$B$5:$F$91,5,FALSE),""))</f>
        <v/>
      </c>
      <c r="E475" s="23" t="n"/>
      <c r="F475" s="19">
        <f>IF($C475="","",IFERROR(IF(VLOOKUP($C475,'Base produits'!$B$5:$H$91,7,FALSE)="","",VLOOKUP($C475,'Base produits'!$B$5:$H$91,7,FALSE)),""))</f>
        <v/>
      </c>
      <c r="G475" s="21">
        <f>IF(OR($C475="",$E475="",$F475=""),"",$E475*$F475)</f>
        <v/>
      </c>
      <c r="H475" s="29" t="n"/>
    </row>
    <row r="476">
      <c r="A476" s="30" t="n"/>
      <c r="B476" s="29" t="n"/>
      <c r="C476" s="23" t="n"/>
      <c r="D476" s="31">
        <f>IF($C476="","",IFERROR(VLOOKUP($C476,'Base produits'!$B$5:$F$91,5,FALSE),""))</f>
        <v/>
      </c>
      <c r="E476" s="23" t="n"/>
      <c r="F476" s="19">
        <f>IF($C476="","",IFERROR(IF(VLOOKUP($C476,'Base produits'!$B$5:$H$91,7,FALSE)="","",VLOOKUP($C476,'Base produits'!$B$5:$H$91,7,FALSE)),""))</f>
        <v/>
      </c>
      <c r="G476" s="21">
        <f>IF(OR($C476="",$E476="",$F476=""),"",$E476*$F476)</f>
        <v/>
      </c>
      <c r="H476" s="29" t="n"/>
    </row>
    <row r="477">
      <c r="A477" s="30" t="n"/>
      <c r="B477" s="29" t="n"/>
      <c r="C477" s="23" t="n"/>
      <c r="D477" s="31">
        <f>IF($C477="","",IFERROR(VLOOKUP($C477,'Base produits'!$B$5:$F$91,5,FALSE),""))</f>
        <v/>
      </c>
      <c r="E477" s="23" t="n"/>
      <c r="F477" s="19">
        <f>IF($C477="","",IFERROR(IF(VLOOKUP($C477,'Base produits'!$B$5:$H$91,7,FALSE)="","",VLOOKUP($C477,'Base produits'!$B$5:$H$91,7,FALSE)),""))</f>
        <v/>
      </c>
      <c r="G477" s="21">
        <f>IF(OR($C477="",$E477="",$F477=""),"",$E477*$F477)</f>
        <v/>
      </c>
      <c r="H477" s="29" t="n"/>
    </row>
    <row r="478">
      <c r="A478" s="30" t="n"/>
      <c r="B478" s="29" t="n"/>
      <c r="C478" s="23" t="n"/>
      <c r="D478" s="31">
        <f>IF($C478="","",IFERROR(VLOOKUP($C478,'Base produits'!$B$5:$F$91,5,FALSE),""))</f>
        <v/>
      </c>
      <c r="E478" s="23" t="n"/>
      <c r="F478" s="19">
        <f>IF($C478="","",IFERROR(IF(VLOOKUP($C478,'Base produits'!$B$5:$H$91,7,FALSE)="","",VLOOKUP($C478,'Base produits'!$B$5:$H$91,7,FALSE)),""))</f>
        <v/>
      </c>
      <c r="G478" s="21">
        <f>IF(OR($C478="",$E478="",$F478=""),"",$E478*$F478)</f>
        <v/>
      </c>
      <c r="H478" s="29" t="n"/>
    </row>
    <row r="479">
      <c r="A479" s="30" t="n"/>
      <c r="B479" s="29" t="n"/>
      <c r="C479" s="23" t="n"/>
      <c r="D479" s="31">
        <f>IF($C479="","",IFERROR(VLOOKUP($C479,'Base produits'!$B$5:$F$91,5,FALSE),""))</f>
        <v/>
      </c>
      <c r="E479" s="23" t="n"/>
      <c r="F479" s="19">
        <f>IF($C479="","",IFERROR(IF(VLOOKUP($C479,'Base produits'!$B$5:$H$91,7,FALSE)="","",VLOOKUP($C479,'Base produits'!$B$5:$H$91,7,FALSE)),""))</f>
        <v/>
      </c>
      <c r="G479" s="21">
        <f>IF(OR($C479="",$E479="",$F479=""),"",$E479*$F479)</f>
        <v/>
      </c>
      <c r="H479" s="29" t="n"/>
    </row>
    <row r="480">
      <c r="A480" s="30" t="n"/>
      <c r="B480" s="29" t="n"/>
      <c r="C480" s="23" t="n"/>
      <c r="D480" s="31">
        <f>IF($C480="","",IFERROR(VLOOKUP($C480,'Base produits'!$B$5:$F$91,5,FALSE),""))</f>
        <v/>
      </c>
      <c r="E480" s="23" t="n"/>
      <c r="F480" s="19">
        <f>IF($C480="","",IFERROR(IF(VLOOKUP($C480,'Base produits'!$B$5:$H$91,7,FALSE)="","",VLOOKUP($C480,'Base produits'!$B$5:$H$91,7,FALSE)),""))</f>
        <v/>
      </c>
      <c r="G480" s="21">
        <f>IF(OR($C480="",$E480="",$F480=""),"",$E480*$F480)</f>
        <v/>
      </c>
      <c r="H480" s="29" t="n"/>
    </row>
    <row r="481">
      <c r="A481" s="30" t="n"/>
      <c r="B481" s="29" t="n"/>
      <c r="C481" s="23" t="n"/>
      <c r="D481" s="31">
        <f>IF($C481="","",IFERROR(VLOOKUP($C481,'Base produits'!$B$5:$F$91,5,FALSE),""))</f>
        <v/>
      </c>
      <c r="E481" s="23" t="n"/>
      <c r="F481" s="19">
        <f>IF($C481="","",IFERROR(IF(VLOOKUP($C481,'Base produits'!$B$5:$H$91,7,FALSE)="","",VLOOKUP($C481,'Base produits'!$B$5:$H$91,7,FALSE)),""))</f>
        <v/>
      </c>
      <c r="G481" s="21">
        <f>IF(OR($C481="",$E481="",$F481=""),"",$E481*$F481)</f>
        <v/>
      </c>
      <c r="H481" s="29" t="n"/>
    </row>
    <row r="482">
      <c r="A482" s="30" t="n"/>
      <c r="B482" s="29" t="n"/>
      <c r="C482" s="23" t="n"/>
      <c r="D482" s="31">
        <f>IF($C482="","",IFERROR(VLOOKUP($C482,'Base produits'!$B$5:$F$91,5,FALSE),""))</f>
        <v/>
      </c>
      <c r="E482" s="23" t="n"/>
      <c r="F482" s="19">
        <f>IF($C482="","",IFERROR(IF(VLOOKUP($C482,'Base produits'!$B$5:$H$91,7,FALSE)="","",VLOOKUP($C482,'Base produits'!$B$5:$H$91,7,FALSE)),""))</f>
        <v/>
      </c>
      <c r="G482" s="21">
        <f>IF(OR($C482="",$E482="",$F482=""),"",$E482*$F482)</f>
        <v/>
      </c>
      <c r="H482" s="29" t="n"/>
    </row>
    <row r="483">
      <c r="A483" s="30" t="n"/>
      <c r="B483" s="29" t="n"/>
      <c r="C483" s="23" t="n"/>
      <c r="D483" s="31">
        <f>IF($C483="","",IFERROR(VLOOKUP($C483,'Base produits'!$B$5:$F$91,5,FALSE),""))</f>
        <v/>
      </c>
      <c r="E483" s="23" t="n"/>
      <c r="F483" s="19">
        <f>IF($C483="","",IFERROR(IF(VLOOKUP($C483,'Base produits'!$B$5:$H$91,7,FALSE)="","",VLOOKUP($C483,'Base produits'!$B$5:$H$91,7,FALSE)),""))</f>
        <v/>
      </c>
      <c r="G483" s="21">
        <f>IF(OR($C483="",$E483="",$F483=""),"",$E483*$F483)</f>
        <v/>
      </c>
      <c r="H483" s="29" t="n"/>
    </row>
    <row r="484">
      <c r="A484" s="30" t="n"/>
      <c r="B484" s="29" t="n"/>
      <c r="C484" s="23" t="n"/>
      <c r="D484" s="31">
        <f>IF($C484="","",IFERROR(VLOOKUP($C484,'Base produits'!$B$5:$F$91,5,FALSE),""))</f>
        <v/>
      </c>
      <c r="E484" s="23" t="n"/>
      <c r="F484" s="19">
        <f>IF($C484="","",IFERROR(IF(VLOOKUP($C484,'Base produits'!$B$5:$H$91,7,FALSE)="","",VLOOKUP($C484,'Base produits'!$B$5:$H$91,7,FALSE)),""))</f>
        <v/>
      </c>
      <c r="G484" s="21">
        <f>IF(OR($C484="",$E484="",$F484=""),"",$E484*$F484)</f>
        <v/>
      </c>
      <c r="H484" s="29" t="n"/>
    </row>
    <row r="485">
      <c r="A485" s="30" t="n"/>
      <c r="B485" s="29" t="n"/>
      <c r="C485" s="23" t="n"/>
      <c r="D485" s="31">
        <f>IF($C485="","",IFERROR(VLOOKUP($C485,'Base produits'!$B$5:$F$91,5,FALSE),""))</f>
        <v/>
      </c>
      <c r="E485" s="23" t="n"/>
      <c r="F485" s="19">
        <f>IF($C485="","",IFERROR(IF(VLOOKUP($C485,'Base produits'!$B$5:$H$91,7,FALSE)="","",VLOOKUP($C485,'Base produits'!$B$5:$H$91,7,FALSE)),""))</f>
        <v/>
      </c>
      <c r="G485" s="21">
        <f>IF(OR($C485="",$E485="",$F485=""),"",$E485*$F485)</f>
        <v/>
      </c>
      <c r="H485" s="29" t="n"/>
    </row>
    <row r="486">
      <c r="A486" s="30" t="n"/>
      <c r="B486" s="29" t="n"/>
      <c r="C486" s="23" t="n"/>
      <c r="D486" s="31">
        <f>IF($C486="","",IFERROR(VLOOKUP($C486,'Base produits'!$B$5:$F$91,5,FALSE),""))</f>
        <v/>
      </c>
      <c r="E486" s="23" t="n"/>
      <c r="F486" s="19">
        <f>IF($C486="","",IFERROR(IF(VLOOKUP($C486,'Base produits'!$B$5:$H$91,7,FALSE)="","",VLOOKUP($C486,'Base produits'!$B$5:$H$91,7,FALSE)),""))</f>
        <v/>
      </c>
      <c r="G486" s="21">
        <f>IF(OR($C486="",$E486="",$F486=""),"",$E486*$F486)</f>
        <v/>
      </c>
      <c r="H486" s="29" t="n"/>
    </row>
    <row r="487">
      <c r="A487" s="30" t="n"/>
      <c r="B487" s="29" t="n"/>
      <c r="C487" s="23" t="n"/>
      <c r="D487" s="31">
        <f>IF($C487="","",IFERROR(VLOOKUP($C487,'Base produits'!$B$5:$F$91,5,FALSE),""))</f>
        <v/>
      </c>
      <c r="E487" s="23" t="n"/>
      <c r="F487" s="19">
        <f>IF($C487="","",IFERROR(IF(VLOOKUP($C487,'Base produits'!$B$5:$H$91,7,FALSE)="","",VLOOKUP($C487,'Base produits'!$B$5:$H$91,7,FALSE)),""))</f>
        <v/>
      </c>
      <c r="G487" s="21">
        <f>IF(OR($C487="",$E487="",$F487=""),"",$E487*$F487)</f>
        <v/>
      </c>
      <c r="H487" s="29" t="n"/>
    </row>
    <row r="488">
      <c r="A488" s="30" t="n"/>
      <c r="B488" s="29" t="n"/>
      <c r="C488" s="23" t="n"/>
      <c r="D488" s="31">
        <f>IF($C488="","",IFERROR(VLOOKUP($C488,'Base produits'!$B$5:$F$91,5,FALSE),""))</f>
        <v/>
      </c>
      <c r="E488" s="23" t="n"/>
      <c r="F488" s="19">
        <f>IF($C488="","",IFERROR(IF(VLOOKUP($C488,'Base produits'!$B$5:$H$91,7,FALSE)="","",VLOOKUP($C488,'Base produits'!$B$5:$H$91,7,FALSE)),""))</f>
        <v/>
      </c>
      <c r="G488" s="21">
        <f>IF(OR($C488="",$E488="",$F488=""),"",$E488*$F488)</f>
        <v/>
      </c>
      <c r="H488" s="29" t="n"/>
    </row>
    <row r="489">
      <c r="A489" s="30" t="n"/>
      <c r="B489" s="29" t="n"/>
      <c r="C489" s="23" t="n"/>
      <c r="D489" s="31">
        <f>IF($C489="","",IFERROR(VLOOKUP($C489,'Base produits'!$B$5:$F$91,5,FALSE),""))</f>
        <v/>
      </c>
      <c r="E489" s="23" t="n"/>
      <c r="F489" s="19">
        <f>IF($C489="","",IFERROR(IF(VLOOKUP($C489,'Base produits'!$B$5:$H$91,7,FALSE)="","",VLOOKUP($C489,'Base produits'!$B$5:$H$91,7,FALSE)),""))</f>
        <v/>
      </c>
      <c r="G489" s="21">
        <f>IF(OR($C489="",$E489="",$F489=""),"",$E489*$F489)</f>
        <v/>
      </c>
      <c r="H489" s="29" t="n"/>
    </row>
    <row r="490">
      <c r="A490" s="30" t="n"/>
      <c r="B490" s="29" t="n"/>
      <c r="C490" s="23" t="n"/>
      <c r="D490" s="31">
        <f>IF($C490="","",IFERROR(VLOOKUP($C490,'Base produits'!$B$5:$F$91,5,FALSE),""))</f>
        <v/>
      </c>
      <c r="E490" s="23" t="n"/>
      <c r="F490" s="19">
        <f>IF($C490="","",IFERROR(IF(VLOOKUP($C490,'Base produits'!$B$5:$H$91,7,FALSE)="","",VLOOKUP($C490,'Base produits'!$B$5:$H$91,7,FALSE)),""))</f>
        <v/>
      </c>
      <c r="G490" s="21">
        <f>IF(OR($C490="",$E490="",$F490=""),"",$E490*$F490)</f>
        <v/>
      </c>
      <c r="H490" s="29" t="n"/>
    </row>
    <row r="491">
      <c r="A491" s="30" t="n"/>
      <c r="B491" s="29" t="n"/>
      <c r="C491" s="23" t="n"/>
      <c r="D491" s="31">
        <f>IF($C491="","",IFERROR(VLOOKUP($C491,'Base produits'!$B$5:$F$91,5,FALSE),""))</f>
        <v/>
      </c>
      <c r="E491" s="23" t="n"/>
      <c r="F491" s="19">
        <f>IF($C491="","",IFERROR(IF(VLOOKUP($C491,'Base produits'!$B$5:$H$91,7,FALSE)="","",VLOOKUP($C491,'Base produits'!$B$5:$H$91,7,FALSE)),""))</f>
        <v/>
      </c>
      <c r="G491" s="21">
        <f>IF(OR($C491="",$E491="",$F491=""),"",$E491*$F491)</f>
        <v/>
      </c>
      <c r="H491" s="29" t="n"/>
    </row>
    <row r="492">
      <c r="A492" s="30" t="n"/>
      <c r="B492" s="29" t="n"/>
      <c r="C492" s="23" t="n"/>
      <c r="D492" s="31">
        <f>IF($C492="","",IFERROR(VLOOKUP($C492,'Base produits'!$B$5:$F$91,5,FALSE),""))</f>
        <v/>
      </c>
      <c r="E492" s="23" t="n"/>
      <c r="F492" s="19">
        <f>IF($C492="","",IFERROR(IF(VLOOKUP($C492,'Base produits'!$B$5:$H$91,7,FALSE)="","",VLOOKUP($C492,'Base produits'!$B$5:$H$91,7,FALSE)),""))</f>
        <v/>
      </c>
      <c r="G492" s="21">
        <f>IF(OR($C492="",$E492="",$F492=""),"",$E492*$F492)</f>
        <v/>
      </c>
      <c r="H492" s="29" t="n"/>
    </row>
    <row r="493">
      <c r="A493" s="30" t="n"/>
      <c r="B493" s="29" t="n"/>
      <c r="C493" s="23" t="n"/>
      <c r="D493" s="31">
        <f>IF($C493="","",IFERROR(VLOOKUP($C493,'Base produits'!$B$5:$F$91,5,FALSE),""))</f>
        <v/>
      </c>
      <c r="E493" s="23" t="n"/>
      <c r="F493" s="19">
        <f>IF($C493="","",IFERROR(IF(VLOOKUP($C493,'Base produits'!$B$5:$H$91,7,FALSE)="","",VLOOKUP($C493,'Base produits'!$B$5:$H$91,7,FALSE)),""))</f>
        <v/>
      </c>
      <c r="G493" s="21">
        <f>IF(OR($C493="",$E493="",$F493=""),"",$E493*$F493)</f>
        <v/>
      </c>
      <c r="H493" s="29" t="n"/>
    </row>
    <row r="494">
      <c r="A494" s="30" t="n"/>
      <c r="B494" s="29" t="n"/>
      <c r="C494" s="23" t="n"/>
      <c r="D494" s="31">
        <f>IF($C494="","",IFERROR(VLOOKUP($C494,'Base produits'!$B$5:$F$91,5,FALSE),""))</f>
        <v/>
      </c>
      <c r="E494" s="23" t="n"/>
      <c r="F494" s="19">
        <f>IF($C494="","",IFERROR(IF(VLOOKUP($C494,'Base produits'!$B$5:$H$91,7,FALSE)="","",VLOOKUP($C494,'Base produits'!$B$5:$H$91,7,FALSE)),""))</f>
        <v/>
      </c>
      <c r="G494" s="21">
        <f>IF(OR($C494="",$E494="",$F494=""),"",$E494*$F494)</f>
        <v/>
      </c>
      <c r="H494" s="29" t="n"/>
    </row>
    <row r="495">
      <c r="A495" s="30" t="n"/>
      <c r="B495" s="29" t="n"/>
      <c r="C495" s="23" t="n"/>
      <c r="D495" s="31">
        <f>IF($C495="","",IFERROR(VLOOKUP($C495,'Base produits'!$B$5:$F$91,5,FALSE),""))</f>
        <v/>
      </c>
      <c r="E495" s="23" t="n"/>
      <c r="F495" s="19">
        <f>IF($C495="","",IFERROR(IF(VLOOKUP($C495,'Base produits'!$B$5:$H$91,7,FALSE)="","",VLOOKUP($C495,'Base produits'!$B$5:$H$91,7,FALSE)),""))</f>
        <v/>
      </c>
      <c r="G495" s="21">
        <f>IF(OR($C495="",$E495="",$F495=""),"",$E495*$F495)</f>
        <v/>
      </c>
      <c r="H495" s="29" t="n"/>
    </row>
    <row r="496">
      <c r="A496" s="30" t="n"/>
      <c r="B496" s="29" t="n"/>
      <c r="C496" s="23" t="n"/>
      <c r="D496" s="31">
        <f>IF($C496="","",IFERROR(VLOOKUP($C496,'Base produits'!$B$5:$F$91,5,FALSE),""))</f>
        <v/>
      </c>
      <c r="E496" s="23" t="n"/>
      <c r="F496" s="19">
        <f>IF($C496="","",IFERROR(IF(VLOOKUP($C496,'Base produits'!$B$5:$H$91,7,FALSE)="","",VLOOKUP($C496,'Base produits'!$B$5:$H$91,7,FALSE)),""))</f>
        <v/>
      </c>
      <c r="G496" s="21">
        <f>IF(OR($C496="",$E496="",$F496=""),"",$E496*$F496)</f>
        <v/>
      </c>
      <c r="H496" s="29" t="n"/>
    </row>
    <row r="497">
      <c r="A497" s="30" t="n"/>
      <c r="B497" s="29" t="n"/>
      <c r="C497" s="23" t="n"/>
      <c r="D497" s="31">
        <f>IF($C497="","",IFERROR(VLOOKUP($C497,'Base produits'!$B$5:$F$91,5,FALSE),""))</f>
        <v/>
      </c>
      <c r="E497" s="23" t="n"/>
      <c r="F497" s="19">
        <f>IF($C497="","",IFERROR(IF(VLOOKUP($C497,'Base produits'!$B$5:$H$91,7,FALSE)="","",VLOOKUP($C497,'Base produits'!$B$5:$H$91,7,FALSE)),""))</f>
        <v/>
      </c>
      <c r="G497" s="21">
        <f>IF(OR($C497="",$E497="",$F497=""),"",$E497*$F497)</f>
        <v/>
      </c>
      <c r="H497" s="29" t="n"/>
    </row>
    <row r="498">
      <c r="A498" s="30" t="n"/>
      <c r="B498" s="29" t="n"/>
      <c r="C498" s="23" t="n"/>
      <c r="D498" s="31">
        <f>IF($C498="","",IFERROR(VLOOKUP($C498,'Base produits'!$B$5:$F$91,5,FALSE),""))</f>
        <v/>
      </c>
      <c r="E498" s="23" t="n"/>
      <c r="F498" s="19">
        <f>IF($C498="","",IFERROR(IF(VLOOKUP($C498,'Base produits'!$B$5:$H$91,7,FALSE)="","",VLOOKUP($C498,'Base produits'!$B$5:$H$91,7,FALSE)),""))</f>
        <v/>
      </c>
      <c r="G498" s="21">
        <f>IF(OR($C498="",$E498="",$F498=""),"",$E498*$F498)</f>
        <v/>
      </c>
      <c r="H498" s="29" t="n"/>
    </row>
    <row r="499">
      <c r="A499" s="30" t="n"/>
      <c r="B499" s="29" t="n"/>
      <c r="C499" s="23" t="n"/>
      <c r="D499" s="31">
        <f>IF($C499="","",IFERROR(VLOOKUP($C499,'Base produits'!$B$5:$F$91,5,FALSE),""))</f>
        <v/>
      </c>
      <c r="E499" s="23" t="n"/>
      <c r="F499" s="19">
        <f>IF($C499="","",IFERROR(IF(VLOOKUP($C499,'Base produits'!$B$5:$H$91,7,FALSE)="","",VLOOKUP($C499,'Base produits'!$B$5:$H$91,7,FALSE)),""))</f>
        <v/>
      </c>
      <c r="G499" s="21">
        <f>IF(OR($C499="",$E499="",$F499=""),"",$E499*$F499)</f>
        <v/>
      </c>
      <c r="H499" s="29" t="n"/>
    </row>
    <row r="500">
      <c r="A500" s="30" t="n"/>
      <c r="B500" s="29" t="n"/>
      <c r="C500" s="23" t="n"/>
      <c r="D500" s="31">
        <f>IF($C500="","",IFERROR(VLOOKUP($C500,'Base produits'!$B$5:$F$91,5,FALSE),""))</f>
        <v/>
      </c>
      <c r="E500" s="23" t="n"/>
      <c r="F500" s="19">
        <f>IF($C500="","",IFERROR(IF(VLOOKUP($C500,'Base produits'!$B$5:$H$91,7,FALSE)="","",VLOOKUP($C500,'Base produits'!$B$5:$H$91,7,FALSE)),""))</f>
        <v/>
      </c>
      <c r="G500" s="21">
        <f>IF(OR($C500="",$E500="",$F500=""),"",$E500*$F500)</f>
        <v/>
      </c>
      <c r="H500" s="29" t="n"/>
    </row>
    <row r="501">
      <c r="A501" s="30" t="n"/>
      <c r="B501" s="29" t="n"/>
      <c r="C501" s="23" t="n"/>
      <c r="D501" s="31">
        <f>IF($C501="","",IFERROR(VLOOKUP($C501,'Base produits'!$B$5:$F$91,5,FALSE),""))</f>
        <v/>
      </c>
      <c r="E501" s="23" t="n"/>
      <c r="F501" s="19">
        <f>IF($C501="","",IFERROR(IF(VLOOKUP($C501,'Base produits'!$B$5:$H$91,7,FALSE)="","",VLOOKUP($C501,'Base produits'!$B$5:$H$91,7,FALSE)),""))</f>
        <v/>
      </c>
      <c r="G501" s="21">
        <f>IF(OR($C501="",$E501="",$F501=""),"",$E501*$F501)</f>
        <v/>
      </c>
      <c r="H501" s="29" t="n"/>
    </row>
    <row r="502">
      <c r="A502" s="30" t="n"/>
      <c r="B502" s="29" t="n"/>
      <c r="C502" s="23" t="n"/>
      <c r="D502" s="31">
        <f>IF($C502="","",IFERROR(VLOOKUP($C502,'Base produits'!$B$5:$F$91,5,FALSE),""))</f>
        <v/>
      </c>
      <c r="E502" s="23" t="n"/>
      <c r="F502" s="19">
        <f>IF($C502="","",IFERROR(IF(VLOOKUP($C502,'Base produits'!$B$5:$H$91,7,FALSE)="","",VLOOKUP($C502,'Base produits'!$B$5:$H$91,7,FALSE)),""))</f>
        <v/>
      </c>
      <c r="G502" s="21">
        <f>IF(OR($C502="",$E502="",$F502=""),"",$E502*$F502)</f>
        <v/>
      </c>
      <c r="H502" s="29" t="n"/>
    </row>
    <row r="503">
      <c r="A503" s="30" t="n"/>
      <c r="B503" s="29" t="n"/>
      <c r="C503" s="23" t="n"/>
      <c r="D503" s="31">
        <f>IF($C503="","",IFERROR(VLOOKUP($C503,'Base produits'!$B$5:$F$91,5,FALSE),""))</f>
        <v/>
      </c>
      <c r="E503" s="23" t="n"/>
      <c r="F503" s="19">
        <f>IF($C503="","",IFERROR(IF(VLOOKUP($C503,'Base produits'!$B$5:$H$91,7,FALSE)="","",VLOOKUP($C503,'Base produits'!$B$5:$H$91,7,FALSE)),""))</f>
        <v/>
      </c>
      <c r="G503" s="21">
        <f>IF(OR($C503="",$E503="",$F503=""),"",$E503*$F503)</f>
        <v/>
      </c>
      <c r="H503" s="29" t="n"/>
    </row>
    <row r="504">
      <c r="A504" s="30" t="n"/>
      <c r="B504" s="29" t="n"/>
      <c r="C504" s="23" t="n"/>
      <c r="D504" s="31">
        <f>IF($C504="","",IFERROR(VLOOKUP($C504,'Base produits'!$B$5:$F$91,5,FALSE),""))</f>
        <v/>
      </c>
      <c r="E504" s="23" t="n"/>
      <c r="F504" s="19">
        <f>IF($C504="","",IFERROR(IF(VLOOKUP($C504,'Base produits'!$B$5:$H$91,7,FALSE)="","",VLOOKUP($C504,'Base produits'!$B$5:$H$91,7,FALSE)),""))</f>
        <v/>
      </c>
      <c r="G504" s="21">
        <f>IF(OR($C504="",$E504="",$F504=""),"",$E504*$F504)</f>
        <v/>
      </c>
      <c r="H504" s="29" t="n"/>
    </row>
  </sheetData>
  <mergeCells count="2">
    <mergeCell ref="A2:H2"/>
    <mergeCell ref="A1:H1"/>
  </mergeCells>
  <dataValidations count="1">
    <dataValidation sqref="C5:C504" showDropDown="0" showInputMessage="0" showErrorMessage="0" allowBlank="1" errorTitle="Référence non reconnue" error="Choisissez une référence de la base produits." promptTitle="Choisir une référence" prompt="Sélectionner une référence déjà créée dans Base produits." type="list">
      <formula1>=ListeReferences</formula1>
    </dataValidation>
  </dataValidations>
  <pageMargins left="0.25" right="0.25" top="0.5" bottom="0.5"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A6A6A6"/>
    <outlinePr summaryBelow="1" summaryRight="1"/>
    <pageSetUpPr fitToPage="1"/>
  </sheetPr>
  <dimension ref="A1:G14"/>
  <sheetViews>
    <sheetView showGridLines="0" zoomScale="90" workbookViewId="0">
      <pane ySplit="4" topLeftCell="A5" activePane="bottomLeft" state="frozen"/>
      <selection pane="bottomLeft" activeCell="A1" sqref="A1"/>
    </sheetView>
  </sheetViews>
  <sheetFormatPr baseColWidth="8" defaultRowHeight="20"/>
  <cols>
    <col width="18" customWidth="1" min="1" max="1"/>
    <col width="52" customWidth="1" min="2" max="2"/>
    <col width="18" customWidth="1" min="3" max="3"/>
    <col width="16" customWidth="1" min="4" max="4"/>
    <col width="20" customWidth="1" min="5" max="5"/>
    <col width="58" customWidth="1" min="6" max="6"/>
    <col width="42" customWidth="1" min="7" max="7"/>
  </cols>
  <sheetData>
    <row r="1" ht="36" customHeight="1">
      <c r="A1" s="1" t="inlineStr">
        <is>
          <t>Repères de vente du catalogue ESS 2026</t>
        </is>
      </c>
    </row>
    <row r="2" ht="30" customHeight="1">
      <c r="A2" s="2" t="inlineStr">
        <is>
          <t>Prix du catalogue général, page 12 — indicatifs et HT. Ils sont séparés des prix client saisis dans la base afin d’éviter toute association automatique incertaine.</t>
        </is>
      </c>
    </row>
    <row r="4" ht="40" customHeight="1">
      <c r="A4" s="13" t="inlineStr">
        <is>
          <t>Réf. catalogue</t>
        </is>
      </c>
      <c r="B4" s="13" t="inlineStr">
        <is>
          <t>Désignation</t>
        </is>
      </c>
      <c r="C4" s="13" t="inlineStr">
        <is>
          <t>Type indiqué</t>
        </is>
      </c>
      <c r="D4" s="13" t="inlineStr">
        <is>
          <t>Conditionnement</t>
        </is>
      </c>
      <c r="E4" s="13" t="inlineStr">
        <is>
          <t>Prix catalogue HT</t>
        </is>
      </c>
      <c r="F4" s="13" t="inlineStr">
        <is>
          <t>Utilisation</t>
        </is>
      </c>
      <c r="G4" s="13" t="inlineStr">
        <is>
          <t>Source</t>
        </is>
      </c>
    </row>
    <row r="5" ht="36" customHeight="1">
      <c r="A5" s="17" t="inlineStr">
        <is>
          <t>INF-006</t>
        </is>
      </c>
      <c r="B5" s="17" t="inlineStr">
        <is>
          <t>Toner laser noir original — HP 203A (CF540A)</t>
        </is>
      </c>
      <c r="C5" s="17" t="inlineStr">
        <is>
          <t>Original</t>
        </is>
      </c>
      <c r="D5" s="17" t="inlineStr">
        <is>
          <t>Unité</t>
        </is>
      </c>
      <c r="E5" s="33" t="n">
        <v>52000</v>
      </c>
      <c r="F5" s="17" t="inlineStr">
        <is>
          <t>Repère pour HP203N noir; famille proche, confirmer la correspondance.</t>
        </is>
      </c>
      <c r="G5" s="17" t="inlineStr">
        <is>
          <t>ESS_Catalogue_General_2026.pdf, p.12</t>
        </is>
      </c>
    </row>
    <row r="6" ht="36" customHeight="1">
      <c r="A6" s="17" t="inlineStr">
        <is>
          <t>INF-007</t>
        </is>
      </c>
      <c r="B6" s="17" t="inlineStr">
        <is>
          <t>Toner laser noir original — HP 205A (CF530A)</t>
        </is>
      </c>
      <c r="C6" s="17" t="inlineStr">
        <is>
          <t>Original</t>
        </is>
      </c>
      <c r="D6" s="17" t="inlineStr">
        <is>
          <t>Unité</t>
        </is>
      </c>
      <c r="E6" s="33" t="n">
        <v>45000</v>
      </c>
      <c r="F6" s="17" t="inlineStr">
        <is>
          <t>Repère pour HP205N noir; famille proche, confirmer la correspondance.</t>
        </is>
      </c>
      <c r="G6" s="17" t="inlineStr">
        <is>
          <t>ESS_Catalogue_General_2026.pdf, p.12</t>
        </is>
      </c>
    </row>
    <row r="7" ht="36" customHeight="1">
      <c r="A7" s="17" t="inlineStr">
        <is>
          <t>INF-008</t>
        </is>
      </c>
      <c r="B7" s="17" t="inlineStr">
        <is>
          <t>Toner laser noir original — HP 26A (CF226A)</t>
        </is>
      </c>
      <c r="C7" s="17" t="inlineStr">
        <is>
          <t>Original</t>
        </is>
      </c>
      <c r="D7" s="17" t="inlineStr">
        <is>
          <t>Unité</t>
        </is>
      </c>
      <c r="E7" s="33" t="n">
        <v>75000</v>
      </c>
      <c r="F7" s="17" t="inlineStr">
        <is>
          <t>Repère HP26A; correspondance exacte de gamme.</t>
        </is>
      </c>
      <c r="G7" s="17" t="inlineStr">
        <is>
          <t>ESS_Catalogue_General_2026.pdf, p.12</t>
        </is>
      </c>
    </row>
    <row r="8" ht="36" customHeight="1">
      <c r="A8" s="17" t="inlineStr">
        <is>
          <t>INF-009</t>
        </is>
      </c>
      <c r="B8" s="17" t="inlineStr">
        <is>
          <t>Toner laser noir original — HP 85A (CE285A)</t>
        </is>
      </c>
      <c r="C8" s="17" t="inlineStr">
        <is>
          <t>Original</t>
        </is>
      </c>
      <c r="D8" s="17" t="inlineStr">
        <is>
          <t>Unité</t>
        </is>
      </c>
      <c r="E8" s="33" t="n">
        <v>38000</v>
      </c>
      <c r="F8" s="17" t="inlineStr">
        <is>
          <t>Repère HP85A; correspondance exacte de gamme.</t>
        </is>
      </c>
      <c r="G8" s="17" t="inlineStr">
        <is>
          <t>ESS_Catalogue_General_2026.pdf, p.12</t>
        </is>
      </c>
    </row>
    <row r="9" ht="36" customHeight="1">
      <c r="A9" s="17" t="inlineStr">
        <is>
          <t>INF-010</t>
        </is>
      </c>
      <c r="B9" s="17" t="inlineStr">
        <is>
          <t>Toner laser noir original — HP 84A (CF284A)</t>
        </is>
      </c>
      <c r="C9" s="17" t="inlineStr">
        <is>
          <t>Original</t>
        </is>
      </c>
      <c r="D9" s="17" t="inlineStr">
        <is>
          <t>Unité</t>
        </is>
      </c>
      <c r="E9" s="33" t="n">
        <v>95000</v>
      </c>
      <c r="F9" s="17" t="inlineStr">
        <is>
          <t>Article du catalogue; aucune référence d’achat identique dans la liste source.</t>
        </is>
      </c>
      <c r="G9" s="17" t="inlineStr">
        <is>
          <t>ESS_Catalogue_General_2026.pdf, p.12</t>
        </is>
      </c>
    </row>
    <row r="10" ht="36" customHeight="1">
      <c r="A10" s="17" t="inlineStr">
        <is>
          <t>INF-011</t>
        </is>
      </c>
      <c r="B10" s="17" t="inlineStr">
        <is>
          <t>Cartouche d’encre noire compatible (HP / Canon)</t>
        </is>
      </c>
      <c r="C10" s="17" t="inlineStr">
        <is>
          <t>Compatible</t>
        </is>
      </c>
      <c r="D10" s="17" t="inlineStr">
        <is>
          <t>Unité</t>
        </is>
      </c>
      <c r="E10" s="33" t="n">
        <v>8000</v>
      </c>
      <c r="F10" s="17" t="inlineStr">
        <is>
          <t>Tarif générique, non associé à une référence précise.</t>
        </is>
      </c>
      <c r="G10" s="17" t="inlineStr">
        <is>
          <t>ESS_Catalogue_General_2026.pdf, p.12</t>
        </is>
      </c>
    </row>
    <row r="11" ht="36" customHeight="1">
      <c r="A11" s="17" t="inlineStr">
        <is>
          <t>INF-012</t>
        </is>
      </c>
      <c r="B11" s="17" t="inlineStr">
        <is>
          <t>Cartouche d’encre couleur compatible (HP / Canon)</t>
        </is>
      </c>
      <c r="C11" s="17" t="inlineStr">
        <is>
          <t>Compatible</t>
        </is>
      </c>
      <c r="D11" s="17" t="inlineStr">
        <is>
          <t>Unité</t>
        </is>
      </c>
      <c r="E11" s="33" t="n">
        <v>10000</v>
      </c>
      <c r="F11" s="17" t="inlineStr">
        <is>
          <t>Tarif générique, non associé à une référence précise.</t>
        </is>
      </c>
      <c r="G11" s="17" t="inlineStr">
        <is>
          <t>ESS_Catalogue_General_2026.pdf, p.12</t>
        </is>
      </c>
    </row>
    <row r="12" ht="36" customHeight="1">
      <c r="A12" s="17" t="inlineStr">
        <is>
          <t>INF-013</t>
        </is>
      </c>
      <c r="B12" s="17" t="inlineStr">
        <is>
          <t>Toner laser noir compatible (Brother / Samsung / HP)</t>
        </is>
      </c>
      <c r="C12" s="17" t="inlineStr">
        <is>
          <t>Compatible</t>
        </is>
      </c>
      <c r="D12" s="17" t="inlineStr">
        <is>
          <t>Unité</t>
        </is>
      </c>
      <c r="E12" s="33" t="n">
        <v>15000</v>
      </c>
      <c r="F12" s="17" t="inlineStr">
        <is>
          <t>Tarif générique, non associé à une référence précise.</t>
        </is>
      </c>
      <c r="G12" s="17" t="inlineStr">
        <is>
          <t>ESS_Catalogue_General_2026.pdf, p.12</t>
        </is>
      </c>
    </row>
    <row r="13" ht="36" customHeight="1">
      <c r="A13" s="17" t="inlineStr">
        <is>
          <t>INF-014</t>
        </is>
      </c>
      <c r="B13" s="17" t="inlineStr">
        <is>
          <t>Cartouche photocopieur RICOH MP C3003 / 3503</t>
        </is>
      </c>
      <c r="C13" s="17" t="inlineStr">
        <is>
          <t>À préciser</t>
        </is>
      </c>
      <c r="D13" s="17" t="inlineStr">
        <is>
          <t>Unité</t>
        </is>
      </c>
      <c r="E13" s="17" t="n"/>
      <c r="F13" s="17" t="inlineStr">
        <is>
          <t>Sur devis.</t>
        </is>
      </c>
      <c r="G13" s="17" t="inlineStr">
        <is>
          <t>ESS_Catalogue_General_2026.pdf, p.12</t>
        </is>
      </c>
    </row>
    <row r="14" ht="36" customHeight="1">
      <c r="A14" s="17" t="inlineStr">
        <is>
          <t>INF-015</t>
        </is>
      </c>
      <c r="B14" s="17" t="inlineStr">
        <is>
          <t>Kit de maintenance / tambour</t>
        </is>
      </c>
      <c r="C14" s="17" t="inlineStr">
        <is>
          <t>À préciser</t>
        </is>
      </c>
      <c r="D14" s="17" t="inlineStr">
        <is>
          <t>Unité</t>
        </is>
      </c>
      <c r="E14" s="17" t="n"/>
      <c r="F14" s="17" t="inlineStr">
        <is>
          <t>Sur devis.</t>
        </is>
      </c>
      <c r="G14" s="17" t="inlineStr">
        <is>
          <t>ESS_Catalogue_General_2026.pdf, p.12</t>
        </is>
      </c>
    </row>
  </sheetData>
  <mergeCells count="2">
    <mergeCell ref="A2:G2"/>
    <mergeCell ref="A1:G1"/>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A6A6A6"/>
    <outlinePr summaryBelow="1" summaryRight="1"/>
    <pageSetUpPr fitToPage="1"/>
  </sheetPr>
  <dimension ref="A1:F14"/>
  <sheetViews>
    <sheetView showGridLines="0" zoomScale="90" workbookViewId="0">
      <pane xSplit="1" ySplit="3" topLeftCell="B4" activePane="bottomRight" state="frozen"/>
      <selection pane="topRight"/>
      <selection pane="bottomLeft"/>
      <selection pane="bottomRight" activeCell="A1" sqref="A1"/>
    </sheetView>
  </sheetViews>
  <sheetFormatPr baseColWidth="8" defaultRowHeight="20"/>
  <cols>
    <col width="5" customWidth="1" min="1" max="1"/>
    <col width="32" customWidth="1" min="2" max="2"/>
    <col width="42" customWidth="1" min="3" max="3"/>
    <col width="42" customWidth="1" min="4" max="4"/>
    <col width="42" customWidth="1" min="5" max="5"/>
    <col width="34" customWidth="1" min="6" max="6"/>
  </cols>
  <sheetData>
    <row r="1" ht="36" customHeight="1">
      <c r="A1" s="1" t="inlineStr">
        <is>
          <t>Guide d’utilisation &amp; contrôles de source</t>
        </is>
      </c>
    </row>
    <row r="2" ht="30" customHeight="1">
      <c r="A2" s="2" t="inlineStr">
        <is>
          <t>Ce classeur est une base de gestion, à compléter avec vos coûts confirmés, prix clients, photos réelles et stocks de départ.</t>
        </is>
      </c>
    </row>
    <row r="4" ht="52" customHeight="1">
      <c r="B4" s="3" t="inlineStr">
        <is>
          <t>Périmètre</t>
        </is>
      </c>
      <c r="C4" s="11" t="inlineStr">
        <is>
          <t>Cartouches/toners et tambours tarifés dans « Prix imprimante.pdf ». 100 lignes tarifaires étaient présentes; 10 lignes sans prix d’achat ont été écartées et les doublons ont été regroupés, soit 87 références uniques avec prix.</t>
        </is>
      </c>
    </row>
    <row r="5" ht="52" customHeight="1">
      <c r="B5" s="3" t="inlineStr">
        <is>
          <t>Prix d’achat</t>
        </is>
      </c>
      <c r="C5" s="11" t="inlineStr">
        <is>
          <t>Les montants de la source ont été retranscrits comme coûts d’achat unitaires. Vous avez confirmé FCFA HT. HP44A garde 5 000 F en tarif principal et 5 500 F dans « Autre prix achat repéré »; choisissez le tarif réel selon le fournisseur.</t>
        </is>
      </c>
    </row>
    <row r="6" ht="52" customHeight="1">
      <c r="B6" s="3" t="inlineStr">
        <is>
          <t>Prix de vente</t>
        </is>
      </c>
      <c r="C6" s="11" t="inlineStr">
        <is>
          <t>Vous avez demandé une fixation manuelle. La colonne « Prix vente client HT » reste donc vide (cellules jaunes). Les repères ESS 2026 sont séparés dans une colonne et dans l’onglet « Tarifs ESS »; ils ne sont pas injectés automatiquement.</t>
        </is>
      </c>
    </row>
    <row r="7" ht="52" customHeight="1">
      <c r="B7" s="3" t="inlineStr">
        <is>
          <t>Repères catalogue</t>
        </is>
      </c>
      <c r="C7" s="11" t="inlineStr">
        <is>
          <t>Le catalogue général page 12 affiche 5 tarifs de toners HP originaux et plusieurs prix génériques compatibles. Seuls les repères HP85A et HP26A sont mis comme correspondances exactes; HP203N/HP205N sont des correspondances de gamme à confirmer.</t>
        </is>
      </c>
    </row>
    <row r="8" ht="68" customHeight="1">
      <c r="B8" s="3" t="inlineStr">
        <is>
          <t>Type original / compatible</t>
        </is>
      </c>
      <c r="C8" s="7" t="inlineStr">
        <is>
          <t>Vous avez indiqué que les références sont originales. Attention : certains prix d’achat (notamment HP85A, HP26A, HP203N et HP205N) sont très éloignés des tarifs catalogue des toners originaux. Vérifier les emballages, références fabricant et factures avant de publier ces articles comme originaux.</t>
        </is>
      </c>
    </row>
    <row r="9" ht="52" customHeight="1">
      <c r="B9" s="3" t="inlineStr">
        <is>
          <t>Photos</t>
        </is>
      </c>
      <c r="C9" s="11" t="inlineStr">
        <is>
          <t>Les visuels viennent de pages Web liées dans « Catalogue visuel ». Ils sont fournis pour faciliter l’identification, pas comme preuve de la nature du stock réel. Les références sans image OEM suffisamment fiable sont marquées « Photo à ajouter ».</t>
        </is>
      </c>
    </row>
    <row r="10" ht="52" customHeight="1">
      <c r="B10" s="3" t="inlineStr">
        <is>
          <t>Codes à contrôler</t>
        </is>
      </c>
      <c r="C10" s="7" t="inlineStr">
        <is>
          <t>« CEXVV28N » et « CANN047 » sont conservés tels qu’imprimés, avec une note sur leur probable orthographe. « HP36 » apparaît sans suffixe A dans le prix d’achat, alors que le visuel trouvé correspond à HP36A. Le numérotage source saute les n°53 et 54.</t>
        </is>
      </c>
    </row>
    <row r="11" ht="52" customHeight="1">
      <c r="B11" s="3" t="inlineStr">
        <is>
          <t>Doublons</t>
        </is>
      </c>
      <c r="C11" s="7" t="inlineStr">
        <is>
          <t>HP44A apparaît avec deux coûts (5 000 F au n°13 et 5 500 F au n°61). HP131N et HP131C sont répétés deux fois au même tarif; une seule fiche par référence est conservée.</t>
        </is>
      </c>
    </row>
    <row r="12" ht="52" customHeight="1">
      <c r="B12" s="3" t="inlineStr">
        <is>
          <t>Références écartées (prix absent)</t>
        </is>
      </c>
      <c r="C12" s="11" t="inlineStr">
        <is>
          <t>CEXV42GIGA, CEXV33GIGA, CEXV65GIGA, CEXV64, CEXV59, CEXV59GIGA, CEXV37, CEXV34, GR15, GPR18. Elles ne figurent pas dans la base principale; ajoutez-les uniquement après confirmation des prix d’achat.</t>
        </is>
      </c>
    </row>
    <row r="13" ht="52" customHeight="1">
      <c r="B13" s="3" t="inlineStr">
        <is>
          <t>Stocks</t>
        </is>
      </c>
      <c r="C13" s="11" t="inlineStr">
        <is>
          <t>Entrez une valeur de départ dans « Stock initial ». Chaque réception ajoutée dans l’onglet « Réceptions » augmente le stock; chaque vente saisie dans « Ventes » le réduit. Sans stock initial, le stock théorique reste vide pour éviter d’afficher un faux zéro.</t>
        </is>
      </c>
    </row>
    <row r="14" ht="52" customHeight="1">
      <c r="B14" s="3" t="inlineStr">
        <is>
          <t>Conditions catalogue</t>
        </is>
      </c>
      <c r="C14" s="11" t="inlineStr">
        <is>
          <t>Le catalogue ESS précise que les prix 2026 sont indicatifs, hors taxes, communiqués sur devis et susceptibles de remises. Les tarifs d’origine s’appliquent uniquement à la référence et à la version correspondantes.</t>
        </is>
      </c>
    </row>
  </sheetData>
  <mergeCells count="24">
    <mergeCell ref="B9"/>
    <mergeCell ref="C8:F8"/>
    <mergeCell ref="B6"/>
    <mergeCell ref="C7:F7"/>
    <mergeCell ref="B5"/>
    <mergeCell ref="C13:F13"/>
    <mergeCell ref="A2:F2"/>
    <mergeCell ref="B4"/>
    <mergeCell ref="B7"/>
    <mergeCell ref="C6:F6"/>
    <mergeCell ref="C5:F5"/>
    <mergeCell ref="C14:F14"/>
    <mergeCell ref="B12"/>
    <mergeCell ref="C4:F4"/>
    <mergeCell ref="B11"/>
    <mergeCell ref="C10:F10"/>
    <mergeCell ref="B14"/>
    <mergeCell ref="B8"/>
    <mergeCell ref="C9:F9"/>
    <mergeCell ref="B13"/>
    <mergeCell ref="A1:F1"/>
    <mergeCell ref="C12:F12"/>
    <mergeCell ref="B10"/>
    <mergeCell ref="C11:F11"/>
  </mergeCells>
  <pageMargins left="0.25" right="0.25" top="0.5" bottom="0.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Arena.ai</dc:creator>
  <dc:title xmlns:dc="http://purl.org/dc/elements/1.1/">Base de données cartouches et toners — E.S.S. 2026</dc:title>
  <dc:description xmlns:dc="http://purl.org/dc/elements/1.1/">Transcription des catalogues PDF fournis par l’utilisateur. Prix client à saisir manuellement.</dc:description>
  <dc:subject xmlns:dc="http://purl.org/dc/elements/1.1/">Suivi des coûts, prix de vente, visuels, ventes et réceptions</dc:subject>
  <dcterms:created xmlns:dcterms="http://purl.org/dc/terms/" xmlns:xsi="http://www.w3.org/2001/XMLSchema-instance" xsi:type="dcterms:W3CDTF">2026-10-04T14:18:59Z</dcterms:created>
  <dcterms:modified xmlns:dcterms="http://purl.org/dc/terms/" xmlns:xsi="http://www.w3.org/2001/XMLSchema-instance" xsi:type="dcterms:W3CDTF">2026-10-04T14:19:01Z</dcterms:modified>
</cp:coreProperties>
</file>